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_Data" sheetId="2" state="visible" r:id="rId4"/>
    <sheet name="Cleaned_Data" sheetId="3" state="visible" r:id="rId5"/>
    <sheet name="Pivot_Sales_by_Region" sheetId="4" state="visible" r:id="rId6"/>
    <sheet name="Pivot_Sales_by_Product" sheetId="5" state="visible" r:id="rId7"/>
    <sheet name="Pivot_Monthly_Trend" sheetId="6" state="visible" r:id="rId8"/>
  </sheets>
  <definedNames>
    <definedName function="false" hidden="true" localSheetId="2" name="_xlnm._FilterDatabase" vbProcedure="false">Cleaned_Data!$A$1:$K$901</definedName>
    <definedName function="false" hidden="true" localSheetId="1" name="_xlnm._FilterDatabase" vbProcedure="false">Raw_Data!$A$1:$H$928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<sst xmlns="http://schemas.openxmlformats.org/spreadsheetml/2006/main" count="7392" uniqueCount="982">
  <si>
    <t xml:space="preserve">Business Sales Performance — Key Metrics</t>
  </si>
  <si>
    <t xml:space="preserve">Maincrafts Technology  |  Business Analytics (Excel + Power BI) — Task 1  |  FY2024</t>
  </si>
  <si>
    <t xml:space="preserve">TOTAL REVENUE</t>
  </si>
  <si>
    <t xml:space="preserve">TOTAL PROFIT</t>
  </si>
  <si>
    <t xml:space="preserve">OVERALL MARGIN</t>
  </si>
  <si>
    <t xml:space="preserve">TOTAL ORDERS</t>
  </si>
  <si>
    <t xml:space="preserve">Best Performing Region:</t>
  </si>
  <si>
    <t xml:space="preserve">Top Product by Revenue:</t>
  </si>
  <si>
    <t xml:space="preserve">Weakest Region:</t>
  </si>
  <si>
    <t xml:space="preserve">Figures pull live from the Pivot_Sales_by_Region and Pivot_Sales_by_Product sheets — update Cleaned_Data and every number here recalculates.</t>
  </si>
  <si>
    <t xml:space="preserve">Order_ID</t>
  </si>
  <si>
    <t xml:space="preserve">Order_Date</t>
  </si>
  <si>
    <t xml:space="preserve">Region</t>
  </si>
  <si>
    <t xml:space="preserve">Product</t>
  </si>
  <si>
    <t xml:space="preserve">Category</t>
  </si>
  <si>
    <t xml:space="preserve">Sales_Amount</t>
  </si>
  <si>
    <t xml:space="preserve">Profit</t>
  </si>
  <si>
    <t xml:space="preserve">Quantity</t>
  </si>
  <si>
    <t xml:space="preserve">ORD1344</t>
  </si>
  <si>
    <t xml:space="preserve">East</t>
  </si>
  <si>
    <t xml:space="preserve">Office Chair</t>
  </si>
  <si>
    <t xml:space="preserve">Furniture</t>
  </si>
  <si>
    <t xml:space="preserve">ORD1170</t>
  </si>
  <si>
    <t xml:space="preserve">Central</t>
  </si>
  <si>
    <t xml:space="preserve">Formal Shirt</t>
  </si>
  <si>
    <t xml:space="preserve">Clothing</t>
  </si>
  <si>
    <t xml:space="preserve">ORD1890</t>
  </si>
  <si>
    <t xml:space="preserve">West</t>
  </si>
  <si>
    <t xml:space="preserve">Mixer Grinder</t>
  </si>
  <si>
    <t xml:space="preserve">Appliances</t>
  </si>
  <si>
    <t xml:space="preserve">ORD1059</t>
  </si>
  <si>
    <t xml:space="preserve">Laptop</t>
  </si>
  <si>
    <t xml:space="preserve">Electronics</t>
  </si>
  <si>
    <t xml:space="preserve">ORD1668</t>
  </si>
  <si>
    <t xml:space="preserve">T-Shirt</t>
  </si>
  <si>
    <t xml:space="preserve">ORD1476</t>
  </si>
  <si>
    <t xml:space="preserve">Sneakers</t>
  </si>
  <si>
    <t xml:space="preserve">ORD1680</t>
  </si>
  <si>
    <t xml:space="preserve">ORD1840</t>
  </si>
  <si>
    <t xml:space="preserve">South</t>
  </si>
  <si>
    <t xml:space="preserve">ORD1522</t>
  </si>
  <si>
    <t xml:space="preserve">North</t>
  </si>
  <si>
    <t xml:space="preserve">Study Table</t>
  </si>
  <si>
    <t xml:space="preserve">ORD1288</t>
  </si>
  <si>
    <t xml:space="preserve">Bluetooth Speaker</t>
  </si>
  <si>
    <t xml:space="preserve">ORD1630</t>
  </si>
  <si>
    <t xml:space="preserve">Air Fryer</t>
  </si>
  <si>
    <t xml:space="preserve">ORD1549</t>
  </si>
  <si>
    <t xml:space="preserve">ORD1827</t>
  </si>
  <si>
    <t xml:space="preserve">Sticky Notes</t>
  </si>
  <si>
    <t xml:space="preserve">Stationery</t>
  </si>
  <si>
    <t xml:space="preserve">ORD1520</t>
  </si>
  <si>
    <t xml:space="preserve">Headphones</t>
  </si>
  <si>
    <t xml:space="preserve">ORD1108</t>
  </si>
  <si>
    <t xml:space="preserve">ORD1143</t>
  </si>
  <si>
    <t xml:space="preserve">Tablet</t>
  </si>
  <si>
    <t xml:space="preserve">ORD1463</t>
  </si>
  <si>
    <t xml:space="preserve">ORD1676</t>
  </si>
  <si>
    <t xml:space="preserve">Notebook</t>
  </si>
  <si>
    <t xml:space="preserve">ORD1091</t>
  </si>
  <si>
    <t xml:space="preserve">ORD1888</t>
  </si>
  <si>
    <t xml:space="preserve">ORD1649</t>
  </si>
  <si>
    <t xml:space="preserve">Highlighters</t>
  </si>
  <si>
    <t xml:space="preserve">ORD1218</t>
  </si>
  <si>
    <t xml:space="preserve">Smartphone</t>
  </si>
  <si>
    <t xml:space="preserve">ORD1821</t>
  </si>
  <si>
    <t xml:space="preserve">ORD1217</t>
  </si>
  <si>
    <t xml:space="preserve">ORD1209</t>
  </si>
  <si>
    <t xml:space="preserve">ORD1721</t>
  </si>
  <si>
    <t xml:space="preserve">ORD1715</t>
  </si>
  <si>
    <t xml:space="preserve">Bed Frame</t>
  </si>
  <si>
    <t xml:space="preserve">ORD1538</t>
  </si>
  <si>
    <t xml:space="preserve">Microwave Oven</t>
  </si>
  <si>
    <t xml:space="preserve">ORD1707</t>
  </si>
  <si>
    <t xml:space="preserve">ORD1025</t>
  </si>
  <si>
    <t xml:space="preserve">Iron</t>
  </si>
  <si>
    <t xml:space="preserve">ORD1345</t>
  </si>
  <si>
    <t xml:space="preserve">ORD1133</t>
  </si>
  <si>
    <t xml:space="preserve">ORD1177</t>
  </si>
  <si>
    <t xml:space="preserve">ORD1042</t>
  </si>
  <si>
    <t xml:space="preserve">ORD1290</t>
  </si>
  <si>
    <t xml:space="preserve">ORD1810</t>
  </si>
  <si>
    <t xml:space="preserve">ORD1015</t>
  </si>
  <si>
    <t xml:space="preserve">Bookshelf</t>
  </si>
  <si>
    <t xml:space="preserve">ORD1215</t>
  </si>
  <si>
    <t xml:space="preserve">ORD1061</t>
  </si>
  <si>
    <t xml:space="preserve">Sofa</t>
  </si>
  <si>
    <t xml:space="preserve">ORD1515</t>
  </si>
  <si>
    <t xml:space="preserve">Pen Set</t>
  </si>
  <si>
    <t xml:space="preserve">ORD1477</t>
  </si>
  <si>
    <t xml:space="preserve">ORD1651</t>
  </si>
  <si>
    <t xml:space="preserve">Jacket</t>
  </si>
  <si>
    <t xml:space="preserve">ORD1378</t>
  </si>
  <si>
    <t xml:space="preserve">Smartwatch</t>
  </si>
  <si>
    <t xml:space="preserve">ORD1823</t>
  </si>
  <si>
    <t xml:space="preserve">ORD1754</t>
  </si>
  <si>
    <t xml:space="preserve">File Folder</t>
  </si>
  <si>
    <t xml:space="preserve">ORD1589</t>
  </si>
  <si>
    <t xml:space="preserve">ORD1471</t>
  </si>
  <si>
    <t xml:space="preserve">ORD1730</t>
  </si>
  <si>
    <t xml:space="preserve">ORD1898</t>
  </si>
  <si>
    <t xml:space="preserve">ORD1313</t>
  </si>
  <si>
    <t xml:space="preserve">ORD1709</t>
  </si>
  <si>
    <t xml:space="preserve">ORD1685</t>
  </si>
  <si>
    <t xml:space="preserve">ORD1495</t>
  </si>
  <si>
    <t xml:space="preserve">ORD1778</t>
  </si>
  <si>
    <t xml:space="preserve">Jeans</t>
  </si>
  <si>
    <t xml:space="preserve">ORD1533</t>
  </si>
  <si>
    <t xml:space="preserve">ORD1379</t>
  </si>
  <si>
    <t xml:space="preserve">ORD1381</t>
  </si>
  <si>
    <t xml:space="preserve">ORD1002</t>
  </si>
  <si>
    <t xml:space="preserve">ORD1349</t>
  </si>
  <si>
    <t xml:space="preserve">ORD1567</t>
  </si>
  <si>
    <t xml:space="preserve">ORD1466</t>
  </si>
  <si>
    <t xml:space="preserve">ORD1783</t>
  </si>
  <si>
    <t xml:space="preserve">ORD1608</t>
  </si>
  <si>
    <t xml:space="preserve">ORD1758</t>
  </si>
  <si>
    <t xml:space="preserve">ORD1169</t>
  </si>
  <si>
    <t xml:space="preserve">ORD1764</t>
  </si>
  <si>
    <t xml:space="preserve">ORD1677</t>
  </si>
  <si>
    <t xml:space="preserve">Water Purifier</t>
  </si>
  <si>
    <t xml:space="preserve">ORD1174</t>
  </si>
  <si>
    <t xml:space="preserve">ORD1519</t>
  </si>
  <si>
    <t xml:space="preserve">ORD1742</t>
  </si>
  <si>
    <t xml:space="preserve">ORD1811</t>
  </si>
  <si>
    <t xml:space="preserve">ORD1263</t>
  </si>
  <si>
    <t xml:space="preserve">ORD1101</t>
  </si>
  <si>
    <t xml:space="preserve">ORD1084</t>
  </si>
  <si>
    <t xml:space="preserve">ORD1457</t>
  </si>
  <si>
    <t xml:space="preserve">ORD1634</t>
  </si>
  <si>
    <t xml:space="preserve">ORD1798</t>
  </si>
  <si>
    <t xml:space="preserve">ORD1507</t>
  </si>
  <si>
    <t xml:space="preserve">ORD1741</t>
  </si>
  <si>
    <t xml:space="preserve">ORD1160</t>
  </si>
  <si>
    <t xml:space="preserve">ORD1151</t>
  </si>
  <si>
    <t xml:space="preserve">ORD1599</t>
  </si>
  <si>
    <t xml:space="preserve">ORD1833</t>
  </si>
  <si>
    <t xml:space="preserve">ORD1078</t>
  </si>
  <si>
    <t xml:space="preserve">ORD1527</t>
  </si>
  <si>
    <t xml:space="preserve">ORD1200</t>
  </si>
  <si>
    <t xml:space="preserve">ORD1207</t>
  </si>
  <si>
    <t xml:space="preserve">ORD1315</t>
  </si>
  <si>
    <t xml:space="preserve">ORD1881</t>
  </si>
  <si>
    <t xml:space="preserve">ORD1541</t>
  </si>
  <si>
    <t xml:space="preserve">ORD1782</t>
  </si>
  <si>
    <t xml:space="preserve">ORD1122</t>
  </si>
  <si>
    <t xml:space="preserve">ORD1253</t>
  </si>
  <si>
    <t xml:space="preserve">ORD1724</t>
  </si>
  <si>
    <t xml:space="preserve">ORD1733</t>
  </si>
  <si>
    <t xml:space="preserve">ORD1664</t>
  </si>
  <si>
    <t xml:space="preserve">ORD1377</t>
  </si>
  <si>
    <t xml:space="preserve">ORD1516</t>
  </si>
  <si>
    <t xml:space="preserve">ORD1573</t>
  </si>
  <si>
    <t xml:space="preserve">ORD1750</t>
  </si>
  <si>
    <t xml:space="preserve">ORD1444</t>
  </si>
  <si>
    <t xml:space="preserve">ORD1127</t>
  </si>
  <si>
    <t xml:space="preserve">ORD1161</t>
  </si>
  <si>
    <t xml:space="preserve">ORD1581</t>
  </si>
  <si>
    <t xml:space="preserve">ORD1885</t>
  </si>
  <si>
    <t xml:space="preserve">ORD1115</t>
  </si>
  <si>
    <t xml:space="preserve">ORD1072</t>
  </si>
  <si>
    <t xml:space="preserve">ORD1693</t>
  </si>
  <si>
    <t xml:space="preserve">ORD1814</t>
  </si>
  <si>
    <t xml:space="preserve">ORD1484</t>
  </si>
  <si>
    <t xml:space="preserve">ORD1401</t>
  </si>
  <si>
    <t xml:space="preserve">ORD1809</t>
  </si>
  <si>
    <t xml:space="preserve">ORD1455</t>
  </si>
  <si>
    <t xml:space="preserve">ORD1878</t>
  </si>
  <si>
    <t xml:space="preserve">ORD1065</t>
  </si>
  <si>
    <t xml:space="preserve">ORD1031</t>
  </si>
  <si>
    <t xml:space="preserve">ORD1039</t>
  </si>
  <si>
    <t xml:space="preserve">ORD1749</t>
  </si>
  <si>
    <t xml:space="preserve">ORD1804</t>
  </si>
  <si>
    <t xml:space="preserve">ORD1046</t>
  </si>
  <si>
    <t xml:space="preserve">ORD1593</t>
  </si>
  <si>
    <t xml:space="preserve">ORD1045</t>
  </si>
  <si>
    <t xml:space="preserve">ORD1636</t>
  </si>
  <si>
    <t xml:space="preserve">ORD1425</t>
  </si>
  <si>
    <t xml:space="preserve">ORD1508</t>
  </si>
  <si>
    <t xml:space="preserve">ORD1414</t>
  </si>
  <si>
    <t xml:space="preserve">ORD1867</t>
  </si>
  <si>
    <t xml:space="preserve">ORD1687</t>
  </si>
  <si>
    <t xml:space="preserve">ORD1319</t>
  </si>
  <si>
    <t xml:space="preserve">ORD1380</t>
  </si>
  <si>
    <t xml:space="preserve">ORD1682</t>
  </si>
  <si>
    <t xml:space="preserve">ORD1180</t>
  </si>
  <si>
    <t xml:space="preserve">ORD1118</t>
  </si>
  <si>
    <t xml:space="preserve">ORD1584</t>
  </si>
  <si>
    <t xml:space="preserve">ORD1426</t>
  </si>
  <si>
    <t xml:space="preserve">ORD1309</t>
  </si>
  <si>
    <t xml:space="preserve">ORD1653</t>
  </si>
  <si>
    <t xml:space="preserve">ORD1413</t>
  </si>
  <si>
    <t xml:space="preserve">ORD1498</t>
  </si>
  <si>
    <t xml:space="preserve">ORD1434</t>
  </si>
  <si>
    <t xml:space="preserve">ORD1396</t>
  </si>
  <si>
    <t xml:space="preserve">ORD1348</t>
  </si>
  <si>
    <t xml:space="preserve">ORD1672</t>
  </si>
  <si>
    <t xml:space="preserve">ORD1265</t>
  </si>
  <si>
    <t xml:space="preserve">ORD1397</t>
  </si>
  <si>
    <t xml:space="preserve">ORD1075</t>
  </si>
  <si>
    <t xml:space="preserve">ORD1560</t>
  </si>
  <si>
    <t xml:space="preserve">ORD1761</t>
  </si>
  <si>
    <t xml:space="preserve">ORD1884</t>
  </si>
  <si>
    <t xml:space="preserve">ORD1474</t>
  </si>
  <si>
    <t xml:space="preserve">ORD1100</t>
  </si>
  <si>
    <t xml:space="preserve">ORD1342</t>
  </si>
  <si>
    <t xml:space="preserve">ORD1003</t>
  </si>
  <si>
    <t xml:space="preserve">ORD1355</t>
  </si>
  <si>
    <t xml:space="preserve">ORD1517</t>
  </si>
  <si>
    <t xml:space="preserve">ORD1869</t>
  </si>
  <si>
    <t xml:space="preserve">ORD1864</t>
  </si>
  <si>
    <t xml:space="preserve">ORD1073</t>
  </si>
  <si>
    <t xml:space="preserve">ORD1211</t>
  </si>
  <si>
    <t xml:space="preserve">ORD1745</t>
  </si>
  <si>
    <t xml:space="preserve">ORD1203</t>
  </si>
  <si>
    <t xml:space="preserve">ORD1442</t>
  </si>
  <si>
    <t xml:space="preserve">ORD1600</t>
  </si>
  <si>
    <t xml:space="preserve">ORD1580</t>
  </si>
  <si>
    <t xml:space="preserve">ORD1005</t>
  </si>
  <si>
    <t xml:space="preserve">ORD1409</t>
  </si>
  <si>
    <t xml:space="preserve">ORD1208</t>
  </si>
  <si>
    <t xml:space="preserve">ORD1247</t>
  </si>
  <si>
    <t xml:space="preserve">ORD1141</t>
  </si>
  <si>
    <t xml:space="preserve">ORD1459</t>
  </si>
  <si>
    <t xml:space="preserve">ORD1134</t>
  </si>
  <si>
    <t xml:space="preserve">ORD1637</t>
  </si>
  <si>
    <t xml:space="preserve">ORD1053</t>
  </si>
  <si>
    <t xml:space="preserve">ORD1385</t>
  </si>
  <si>
    <t xml:space="preserve">ORD1525</t>
  </si>
  <si>
    <t xml:space="preserve">ORD1410</t>
  </si>
  <si>
    <t xml:space="preserve">ORD1085</t>
  </si>
  <si>
    <t xml:space="preserve">ORD1654</t>
  </si>
  <si>
    <t xml:space="preserve">ORD1121</t>
  </si>
  <si>
    <t xml:space="preserve">ORD1561</t>
  </si>
  <si>
    <t xml:space="preserve">ORD1359</t>
  </si>
  <si>
    <t xml:space="preserve">ORD1592</t>
  </si>
  <si>
    <t xml:space="preserve">ORD1178</t>
  </si>
  <si>
    <t xml:space="preserve">ORD1088</t>
  </si>
  <si>
    <t xml:space="preserve">ORD1335</t>
  </si>
  <si>
    <t xml:space="preserve">ORD1596</t>
  </si>
  <si>
    <t xml:space="preserve">ORD1594</t>
  </si>
  <si>
    <t xml:space="preserve">ORD1624</t>
  </si>
  <si>
    <t xml:space="preserve">ORD1777</t>
  </si>
  <si>
    <t xml:space="preserve">ORD1014</t>
  </si>
  <si>
    <t xml:space="preserve">ORD1190</t>
  </si>
  <si>
    <t xml:space="preserve">ORD1225</t>
  </si>
  <si>
    <t xml:space="preserve">ORD1281</t>
  </si>
  <si>
    <t xml:space="preserve">ORD1490</t>
  </si>
  <si>
    <t xml:space="preserve">ORD1662</t>
  </si>
  <si>
    <t xml:space="preserve">ORD1304</t>
  </si>
  <si>
    <t xml:space="preserve">ORD1096</t>
  </si>
  <si>
    <t xml:space="preserve">ORD1228</t>
  </si>
  <si>
    <t xml:space="preserve">ORD1403</t>
  </si>
  <si>
    <t xml:space="preserve">ORD1060</t>
  </si>
  <si>
    <t xml:space="preserve">ORD1330</t>
  </si>
  <si>
    <t xml:space="preserve">ORD1113</t>
  </si>
  <si>
    <t xml:space="preserve">ORD1038</t>
  </si>
  <si>
    <t xml:space="preserve">ORD1684</t>
  </si>
  <si>
    <t xml:space="preserve">ORD1632</t>
  </si>
  <si>
    <t xml:space="preserve">ORD1597</t>
  </si>
  <si>
    <t xml:space="preserve">ORD1238</t>
  </si>
  <si>
    <t xml:space="preserve">ORD1220</t>
  </si>
  <si>
    <t xml:space="preserve">ORD1657</t>
  </si>
  <si>
    <t xml:space="preserve">ORD1526</t>
  </si>
  <si>
    <t xml:space="preserve">ORD1843</t>
  </si>
  <si>
    <t xml:space="preserve">ORD1786</t>
  </si>
  <si>
    <t xml:space="preserve">ORD1631</t>
  </si>
  <si>
    <t xml:space="preserve">ORD1153</t>
  </si>
  <si>
    <t xml:space="preserve">ORD1301</t>
  </si>
  <si>
    <t xml:space="preserve">ORD1412</t>
  </si>
  <si>
    <t xml:space="preserve">ORD1298</t>
  </si>
  <si>
    <t xml:space="preserve">ORD1090</t>
  </si>
  <si>
    <t xml:space="preserve">ORD1542</t>
  </si>
  <si>
    <t xml:space="preserve">ORD1109</t>
  </si>
  <si>
    <t xml:space="preserve">ORD1747</t>
  </si>
  <si>
    <t xml:space="preserve">ORD1340</t>
  </si>
  <si>
    <t xml:space="preserve">ORD1717</t>
  </si>
  <si>
    <t xml:space="preserve">ORD1829</t>
  </si>
  <si>
    <t xml:space="preserve">ORD1148</t>
  </si>
  <si>
    <t xml:space="preserve">ORD1176</t>
  </si>
  <si>
    <t xml:space="preserve">ORD1601</t>
  </si>
  <si>
    <t xml:space="preserve">ORD1692</t>
  </si>
  <si>
    <t xml:space="preserve">ORD1447</t>
  </si>
  <si>
    <t xml:space="preserve">ORD1069</t>
  </si>
  <si>
    <t xml:space="preserve">ORD1019</t>
  </si>
  <si>
    <t xml:space="preserve">ORD1063</t>
  </si>
  <si>
    <t xml:space="preserve">ORD1064</t>
  </si>
  <si>
    <t xml:space="preserve">ORD1524</t>
  </si>
  <si>
    <t xml:space="preserve">ORD1418</t>
  </si>
  <si>
    <t xml:space="preserve">ORD1699</t>
  </si>
  <si>
    <t xml:space="preserve">ORD1648</t>
  </si>
  <si>
    <t xml:space="preserve">ORD1245</t>
  </si>
  <si>
    <t xml:space="preserve">ORD1147</t>
  </si>
  <si>
    <t xml:space="preserve">ORD1440</t>
  </si>
  <si>
    <t xml:space="preserve">ORD1839</t>
  </si>
  <si>
    <t xml:space="preserve">ORD1588</t>
  </si>
  <si>
    <t xml:space="preserve">ORD1451</t>
  </si>
  <si>
    <t xml:space="preserve">ORD1144</t>
  </si>
  <si>
    <t xml:space="preserve">ORD1354</t>
  </si>
  <si>
    <t xml:space="preserve">ORD1762</t>
  </si>
  <si>
    <t xml:space="preserve">ORD1326</t>
  </si>
  <si>
    <t xml:space="preserve">ORD1034</t>
  </si>
  <si>
    <t xml:space="preserve">ORD1727</t>
  </si>
  <si>
    <t xml:space="preserve">ORD1700</t>
  </si>
  <si>
    <t xml:space="preserve">ORD1305</t>
  </si>
  <si>
    <t xml:space="preserve">ORD1535</t>
  </si>
  <si>
    <t xml:space="preserve">ORD1872</t>
  </si>
  <si>
    <t xml:space="preserve">ORD1550</t>
  </si>
  <si>
    <t xml:space="preserve">ORD1505</t>
  </si>
  <si>
    <t xml:space="preserve">ORD1732</t>
  </si>
  <si>
    <t xml:space="preserve">ORD1697</t>
  </si>
  <si>
    <t xml:space="preserve">ORD1244</t>
  </si>
  <si>
    <t xml:space="preserve">ORD1043</t>
  </si>
  <si>
    <t xml:space="preserve">ORD1577</t>
  </si>
  <si>
    <t xml:space="preserve">ORD1068</t>
  </si>
  <si>
    <t xml:space="preserve">ORD1076</t>
  </si>
  <si>
    <t xml:space="preserve">ORD1510</t>
  </si>
  <si>
    <t xml:space="preserve">ORD1790</t>
  </si>
  <si>
    <t xml:space="preserve">ORD1222</t>
  </si>
  <si>
    <t xml:space="preserve">ORD1275</t>
  </si>
  <si>
    <t xml:space="preserve">ORD1047</t>
  </si>
  <si>
    <t xml:space="preserve">ORD1110</t>
  </si>
  <si>
    <t xml:space="preserve">ORD1229</t>
  </si>
  <si>
    <t xml:space="preserve">ORD1202</t>
  </si>
  <si>
    <t xml:space="preserve">ORD1438</t>
  </si>
  <si>
    <t xml:space="preserve">ORD1473</t>
  </si>
  <si>
    <t xml:space="preserve">ORD1558</t>
  </si>
  <si>
    <t xml:space="preserve">ORD1753</t>
  </si>
  <si>
    <t xml:space="preserve">ORD1698</t>
  </si>
  <si>
    <t xml:space="preserve">ORD1077</t>
  </si>
  <si>
    <t xml:space="preserve">ORD1870</t>
  </si>
  <si>
    <t xml:space="preserve">ORD1164</t>
  </si>
  <si>
    <t xml:space="preserve">ORD1528</t>
  </si>
  <si>
    <t xml:space="preserve">ORD1478</t>
  </si>
  <si>
    <t xml:space="preserve">ORD1157</t>
  </si>
  <si>
    <t xml:space="preserve">ORD1028</t>
  </si>
  <si>
    <t xml:space="preserve">ORD1295</t>
  </si>
  <si>
    <t xml:space="preserve">ORD1006</t>
  </si>
  <si>
    <t xml:space="preserve">ORD1117</t>
  </si>
  <si>
    <t xml:space="preserve">ORD1539</t>
  </si>
  <si>
    <t xml:space="preserve">ORD1701</t>
  </si>
  <si>
    <t xml:space="preserve">ORD1610</t>
  </si>
  <si>
    <t xml:space="preserve">ORD1807</t>
  </si>
  <si>
    <t xml:space="preserve">ORD1556</t>
  </si>
  <si>
    <t xml:space="preserve">ORD1029</t>
  </si>
  <si>
    <t xml:space="preserve">ORD1460</t>
  </si>
  <si>
    <t xml:space="preserve">ORD1196</t>
  </si>
  <si>
    <t xml:space="preserve">ORD1392</t>
  </si>
  <si>
    <t xml:space="preserve">ORD1310</t>
  </si>
  <si>
    <t xml:space="preserve">ORD1776</t>
  </si>
  <si>
    <t xml:space="preserve">ORD1386</t>
  </si>
  <si>
    <t xml:space="preserve">ORD1250</t>
  </si>
  <si>
    <t xml:space="preserve">ORD1089</t>
  </si>
  <si>
    <t xml:space="preserve">ORD1248</t>
  </si>
  <si>
    <t xml:space="preserve">ORD1361</t>
  </si>
  <si>
    <t xml:space="preserve">ORD1417</t>
  </si>
  <si>
    <t xml:space="preserve">ORD1112</t>
  </si>
  <si>
    <t xml:space="preserve">ORD1604</t>
  </si>
  <si>
    <t xml:space="preserve">ORD1205</t>
  </si>
  <si>
    <t xml:space="preserve">ORD1848</t>
  </si>
  <si>
    <t xml:space="preserve">ORD1048</t>
  </si>
  <si>
    <t xml:space="preserve">ORD1491</t>
  </si>
  <si>
    <t xml:space="preserve">ORD1120</t>
  </si>
  <si>
    <t xml:space="preserve">ORD1394</t>
  </si>
  <si>
    <t xml:space="preserve">ORD1773</t>
  </si>
  <si>
    <t xml:space="preserve">ORD1437</t>
  </si>
  <si>
    <t xml:space="preserve">ORD1136</t>
  </si>
  <si>
    <t xml:space="preserve">ORD1639</t>
  </si>
  <si>
    <t xml:space="preserve">ORD1323</t>
  </si>
  <si>
    <t xml:space="preserve">ORD1183</t>
  </si>
  <si>
    <t xml:space="preserve">ORD1236</t>
  </si>
  <si>
    <t xml:space="preserve">ORD1627</t>
  </si>
  <si>
    <t xml:space="preserve">ORD1841</t>
  </si>
  <si>
    <t xml:space="preserve">ORD1509</t>
  </si>
  <si>
    <t xml:space="preserve">ORD1358</t>
  </si>
  <si>
    <t xml:space="preserve">ORD1521</t>
  </si>
  <si>
    <t xml:space="preserve">ORD1285</t>
  </si>
  <si>
    <t xml:space="preserve">ORD1262</t>
  </si>
  <si>
    <t xml:space="preserve">ORD1284</t>
  </si>
  <si>
    <t xml:space="preserve">ORD1142</t>
  </si>
  <si>
    <t xml:space="preserve">ORD1012</t>
  </si>
  <si>
    <t xml:space="preserve">ORD1416</t>
  </si>
  <si>
    <t xml:space="preserve">ORD1609</t>
  </si>
  <si>
    <t xml:space="preserve">ORD1436</t>
  </si>
  <si>
    <t xml:space="preserve">ORD1860</t>
  </si>
  <si>
    <t xml:space="preserve">ORD1004</t>
  </si>
  <si>
    <t xml:space="preserve">ORD1613</t>
  </si>
  <si>
    <t xml:space="preserve">ORD1070</t>
  </si>
  <si>
    <t xml:space="preserve">ORD1658</t>
  </si>
  <si>
    <t xml:space="preserve">ORD1616</t>
  </si>
  <si>
    <t xml:space="preserve">ORD1566</t>
  </si>
  <si>
    <t xml:space="preserve">ORD1146</t>
  </si>
  <si>
    <t xml:space="preserve">ORD1018</t>
  </si>
  <si>
    <t xml:space="preserve">ORD1501</t>
  </si>
  <si>
    <t xml:space="preserve">ORD1565</t>
  </si>
  <si>
    <t xml:space="preserve">ORD1230</t>
  </si>
  <si>
    <t xml:space="preserve">ORD1232</t>
  </si>
  <si>
    <t xml:space="preserve">ORD1769</t>
  </si>
  <si>
    <t xml:space="preserve">ORD1131</t>
  </si>
  <si>
    <t xml:space="preserve">ORD1362</t>
  </si>
  <si>
    <t xml:space="preserve">ORD1799</t>
  </si>
  <si>
    <t xml:space="preserve">ORD1752</t>
  </si>
  <si>
    <t xml:space="preserve">ORD1280</t>
  </si>
  <si>
    <t xml:space="preserve">ORD1770</t>
  </si>
  <si>
    <t xml:space="preserve">ORD1503</t>
  </si>
  <si>
    <t xml:space="preserve">ORD1312</t>
  </si>
  <si>
    <t xml:space="preserve">ORD1470</t>
  </si>
  <si>
    <t xml:space="preserve">ORD1835</t>
  </si>
  <si>
    <t xml:space="preserve">ORD1532</t>
  </si>
  <si>
    <t xml:space="preserve">ORD1212</t>
  </si>
  <si>
    <t xml:space="preserve">ORD1622</t>
  </si>
  <si>
    <t xml:space="preserve">ORD1167</t>
  </si>
  <si>
    <t xml:space="preserve">ORD1373</t>
  </si>
  <si>
    <t xml:space="preserve">ORD1544</t>
  </si>
  <si>
    <t xml:space="preserve">ORD1856</t>
  </si>
  <si>
    <t xml:space="preserve">ORD1227</t>
  </si>
  <si>
    <t xml:space="preserve">ORD1845</t>
  </si>
  <si>
    <t xml:space="preserve">ORD1886</t>
  </si>
  <si>
    <t xml:space="preserve">ORD1796</t>
  </si>
  <si>
    <t xml:space="preserve">ORD1173</t>
  </si>
  <si>
    <t xml:space="preserve">ORD1259</t>
  </si>
  <si>
    <t xml:space="preserve">ORD1206</t>
  </si>
  <si>
    <t xml:space="preserve">ORD1513</t>
  </si>
  <si>
    <t xml:space="preserve">ORD1614</t>
  </si>
  <si>
    <t xml:space="preserve">ORD1849</t>
  </si>
  <si>
    <t xml:space="preserve">ORD1822</t>
  </si>
  <si>
    <t xml:space="preserve">ORD1219</t>
  </si>
  <si>
    <t xml:space="preserve">ORD1341</t>
  </si>
  <si>
    <t xml:space="preserve">ORD1774</t>
  </si>
  <si>
    <t xml:space="preserve">ORD1729</t>
  </si>
  <si>
    <t xml:space="preserve">ORD1787</t>
  </si>
  <si>
    <t xml:space="preserve">ORD1184</t>
  </si>
  <si>
    <t xml:space="preserve">ORD1296</t>
  </si>
  <si>
    <t xml:space="preserve">ORD1846</t>
  </si>
  <si>
    <t xml:space="preserve">ORD1585</t>
  </si>
  <si>
    <t xml:space="preserve">ORD1663</t>
  </si>
  <si>
    <t xml:space="preserve">ORD1419</t>
  </si>
  <si>
    <t xml:space="preserve">ORD1390</t>
  </si>
  <si>
    <t xml:space="preserve">ORD1384</t>
  </si>
  <si>
    <t xml:space="preserve">ORD1421</t>
  </si>
  <si>
    <t xml:space="preserve">ORD1797</t>
  </si>
  <si>
    <t xml:space="preserve">ORD1321</t>
  </si>
  <si>
    <t xml:space="preserve">ORD1644</t>
  </si>
  <si>
    <t xml:space="preserve">ORD1128</t>
  </si>
  <si>
    <t xml:space="preserve">ORD1559</t>
  </si>
  <si>
    <t xml:space="preserve">ORD1866</t>
  </si>
  <si>
    <t xml:space="preserve">ORD1452</t>
  </si>
  <si>
    <t xml:space="preserve">ORD1714</t>
  </si>
  <si>
    <t xml:space="preserve">ORD1529</t>
  </si>
  <si>
    <t xml:space="preserve">ORD1598</t>
  </si>
  <si>
    <t xml:space="preserve">ORD1119</t>
  </si>
  <si>
    <t xml:space="preserve">ORD1765</t>
  </si>
  <si>
    <t xml:space="preserve">ORD1052</t>
  </si>
  <si>
    <t xml:space="preserve">ORD1465</t>
  </si>
  <si>
    <t xml:space="preserve">ORD1365</t>
  </si>
  <si>
    <t xml:space="preserve">ORD1111</t>
  </si>
  <si>
    <t xml:space="preserve">ORD1040</t>
  </si>
  <si>
    <t xml:space="preserve">ORD1626</t>
  </si>
  <si>
    <t xml:space="preserve">ORD1650</t>
  </si>
  <si>
    <t xml:space="preserve">ORD1496</t>
  </si>
  <si>
    <t xml:space="preserve">ORD1819</t>
  </si>
  <si>
    <t xml:space="preserve">ORD1271</t>
  </si>
  <si>
    <t xml:space="preserve">ORD1137</t>
  </si>
  <si>
    <t xml:space="preserve">ORD1688</t>
  </si>
  <si>
    <t xml:space="preserve">ORD1720</t>
  </si>
  <si>
    <t xml:space="preserve">ORD1363</t>
  </si>
  <si>
    <t xml:space="preserve">ORD1740</t>
  </si>
  <si>
    <t xml:space="preserve">ORD1759</t>
  </si>
  <si>
    <t xml:space="preserve">ORD1213</t>
  </si>
  <si>
    <t xml:space="preserve">ORD1815</t>
  </si>
  <si>
    <t xml:space="preserve">ORD1286</t>
  </si>
  <si>
    <t xml:space="preserve">ORD1879</t>
  </si>
  <si>
    <t xml:space="preserve">ORD1032</t>
  </si>
  <si>
    <t xml:space="preserve">ORD1328</t>
  </si>
  <si>
    <t xml:space="preserve">ORD1240</t>
  </si>
  <si>
    <t xml:space="preserve">ORD1801</t>
  </si>
  <si>
    <t xml:space="preserve">ORD1427</t>
  </si>
  <si>
    <t xml:space="preserve">ORD1252</t>
  </si>
  <si>
    <t xml:space="preserve">ORD1336</t>
  </si>
  <si>
    <t xml:space="preserve">ORD1737</t>
  </si>
  <si>
    <t xml:space="preserve">ORD1007</t>
  </si>
  <si>
    <t xml:space="preserve">ORD1037</t>
  </si>
  <si>
    <t xml:space="preserve">ORD1368</t>
  </si>
  <si>
    <t xml:space="preserve">ORD1683</t>
  </si>
  <si>
    <t xml:space="preserve">ORD1635</t>
  </si>
  <si>
    <t xml:space="preserve">ORD1026</t>
  </si>
  <si>
    <t xml:space="preserve">ORD1132</t>
  </si>
  <si>
    <t xml:space="preserve">ORD1303</t>
  </si>
  <si>
    <t xml:space="preserve">ORD1816</t>
  </si>
  <si>
    <t xml:space="preserve">ORD1660</t>
  </si>
  <si>
    <t xml:space="preserve">ORD1702</t>
  </si>
  <si>
    <t xml:space="preserve">ORD1251</t>
  </si>
  <si>
    <t xml:space="preserve">ORD1337</t>
  </si>
  <si>
    <t xml:space="preserve">ORD1514</t>
  </si>
  <si>
    <t xml:space="preserve">ORD1429</t>
  </si>
  <si>
    <t xml:space="preserve">ORD1704</t>
  </si>
  <si>
    <t xml:space="preserve">ORD1293</t>
  </si>
  <si>
    <t xml:space="preserve">ORD1710</t>
  </si>
  <si>
    <t xml:space="preserve">ORD1625</t>
  </si>
  <si>
    <t xml:space="preserve">ORD1830</t>
  </si>
  <si>
    <t xml:space="preserve">ORD1808</t>
  </si>
  <si>
    <t xml:space="preserve">ORD1055</t>
  </si>
  <si>
    <t xml:space="preserve">ORD1081</t>
  </si>
  <si>
    <t xml:space="preserve">ORD1017</t>
  </si>
  <si>
    <t xml:space="preserve">ORD1659</t>
  </si>
  <si>
    <t xml:space="preserve">ORD1546</t>
  </si>
  <si>
    <t xml:space="preserve">ORD1067</t>
  </si>
  <si>
    <t xml:space="preserve">ORD1428</t>
  </si>
  <si>
    <t xml:space="preserve">ORD1623</t>
  </si>
  <si>
    <t xml:space="preserve">ORD1583</t>
  </si>
  <si>
    <t xml:space="preserve">ORD1896</t>
  </si>
  <si>
    <t xml:space="preserve">ORD1268</t>
  </si>
  <si>
    <t xml:space="preserve">ORD1050</t>
  </si>
  <si>
    <t xml:space="preserve">ORD1057</t>
  </si>
  <si>
    <t xml:space="preserve">ORD1486</t>
  </si>
  <si>
    <t xml:space="preserve">ORD1852</t>
  </si>
  <si>
    <t xml:space="preserve">ORD1210</t>
  </si>
  <si>
    <t xml:space="preserve">ORD1779</t>
  </si>
  <si>
    <t xml:space="preserve">ORD1145</t>
  </si>
  <si>
    <t xml:space="preserve">ORD1314</t>
  </si>
  <si>
    <t xml:space="preserve">ORD1079</t>
  </si>
  <si>
    <t xml:space="preserve">ORD1555</t>
  </si>
  <si>
    <t xml:space="preserve">ORD1393</t>
  </si>
  <si>
    <t xml:space="preserve">ORD1643</t>
  </si>
  <si>
    <t xml:space="preserve">ORD1350</t>
  </si>
  <si>
    <t xml:space="preserve">ORD1736</t>
  </si>
  <si>
    <t xml:space="preserve">ORD1756</t>
  </si>
  <si>
    <t xml:space="preserve">ORD1199</t>
  </si>
  <si>
    <t xml:space="preserve">ORD1611</t>
  </si>
  <si>
    <t xml:space="preserve">ORD1619</t>
  </si>
  <si>
    <t xml:space="preserve">ORD1338</t>
  </si>
  <si>
    <t xml:space="preserve">ORD1603</t>
  </si>
  <si>
    <t xml:space="preserve">ORD1564</t>
  </si>
  <si>
    <t xml:space="preserve">ORD1543</t>
  </si>
  <si>
    <t xml:space="preserve">ORD1713</t>
  </si>
  <si>
    <t xml:space="preserve">ORD1492</t>
  </si>
  <si>
    <t xml:space="preserve">ORD1570</t>
  </si>
  <si>
    <t xml:space="preserve">ORD1638</t>
  </si>
  <si>
    <t xml:space="preserve">ORD1439</t>
  </si>
  <si>
    <t xml:space="preserve">ORD1695</t>
  </si>
  <si>
    <t xml:space="preserve">ORD1551</t>
  </si>
  <si>
    <t xml:space="preserve">ORD1689</t>
  </si>
  <si>
    <t xml:space="preserve">ORD1095</t>
  </si>
  <si>
    <t xml:space="preserve">ORD1376</t>
  </si>
  <si>
    <t xml:space="preserve">ORD1518</t>
  </si>
  <si>
    <t xml:space="preserve">ORD1568</t>
  </si>
  <si>
    <t xml:space="preserve">ORD1327</t>
  </si>
  <si>
    <t xml:space="preserve">ORD1398</t>
  </si>
  <si>
    <t xml:space="preserve">ORD1681</t>
  </si>
  <si>
    <t xml:space="preserve">ORD1629</t>
  </si>
  <si>
    <t xml:space="preserve">ORD1188</t>
  </si>
  <si>
    <t xml:space="preserve">ORD1767</t>
  </si>
  <si>
    <t xml:space="preserve">ORD1723</t>
  </si>
  <si>
    <t xml:space="preserve">ORD1420</t>
  </si>
  <si>
    <t xml:space="preserve">ORD1152</t>
  </si>
  <si>
    <t xml:space="preserve">ORD1231</t>
  </si>
  <si>
    <t xml:space="preserve">ORD1080</t>
  </si>
  <si>
    <t xml:space="preserve">ORD1272</t>
  </si>
  <si>
    <t xml:space="preserve">ORD1719</t>
  </si>
  <si>
    <t xml:space="preserve">ORD1165</t>
  </si>
  <si>
    <t xml:space="preserve">ORD1282</t>
  </si>
  <si>
    <t xml:space="preserve">ORD1480</t>
  </si>
  <si>
    <t xml:space="preserve">ORD1332</t>
  </si>
  <si>
    <t xml:space="preserve">ORD1357</t>
  </si>
  <si>
    <t xml:space="preserve">ORD1195</t>
  </si>
  <si>
    <t xml:space="preserve">ORD1502</t>
  </si>
  <si>
    <t xml:space="preserve">ORD1302</t>
  </si>
  <si>
    <t xml:space="preserve">ORD1617</t>
  </si>
  <si>
    <t xml:space="preserve">ORD1497</t>
  </si>
  <si>
    <t xml:space="preserve">ORD1041</t>
  </si>
  <si>
    <t xml:space="preserve">ORD1812</t>
  </si>
  <si>
    <t xml:space="preserve">ORD1853</t>
  </si>
  <si>
    <t xml:space="preserve">ORD1367</t>
  </si>
  <si>
    <t xml:space="preserve">ORD1387</t>
  </si>
  <si>
    <t xml:space="preserve">ORD1022</t>
  </si>
  <si>
    <t xml:space="preserve">ORD1198</t>
  </si>
  <si>
    <t xml:space="preserve">ORD1450</t>
  </si>
  <si>
    <t xml:space="preserve">ORD1694</t>
  </si>
  <si>
    <t xml:space="preserve">ORD1775</t>
  </si>
  <si>
    <t xml:space="preserve">ORD1615</t>
  </si>
  <si>
    <t xml:space="preserve">ORD1806</t>
  </si>
  <si>
    <t xml:space="preserve">ORD1618</t>
  </si>
  <si>
    <t xml:space="preserve">ORD1158</t>
  </si>
  <si>
    <t xml:space="preserve">ORD1722</t>
  </si>
  <si>
    <t xml:space="preserve">ORD1836</t>
  </si>
  <si>
    <t xml:space="preserve">ORD1347</t>
  </si>
  <si>
    <t xml:space="preserve">ORD1094</t>
  </si>
  <si>
    <t xml:space="preserve">ORD1854</t>
  </si>
  <si>
    <t xml:space="preserve">ORD1162</t>
  </si>
  <si>
    <t xml:space="preserve">ORD1587</t>
  </si>
  <si>
    <t xml:space="preserve">ORD1802</t>
  </si>
  <si>
    <t xml:space="preserve">ORD1605</t>
  </si>
  <si>
    <t xml:space="preserve">ORD1159</t>
  </si>
  <si>
    <t xml:space="preserve">ORD1487</t>
  </si>
  <si>
    <t xml:space="preserve">ORD1572</t>
  </si>
  <si>
    <t xml:space="preserve">ORD1670</t>
  </si>
  <si>
    <t xml:space="preserve">ORD1249</t>
  </si>
  <si>
    <t xml:space="preserve">ORD1406</t>
  </si>
  <si>
    <t xml:space="preserve">ORD1123</t>
  </si>
  <si>
    <t xml:space="preserve">ORD1283</t>
  </si>
  <si>
    <t xml:space="preserve">ORD1760</t>
  </si>
  <si>
    <t xml:space="preserve">ORD1667</t>
  </si>
  <si>
    <t xml:space="preserve">ORD1803</t>
  </si>
  <si>
    <t xml:space="preserve">ORD1445</t>
  </si>
  <si>
    <t xml:space="preserve">ORD1868</t>
  </si>
  <si>
    <t xml:space="preserve">ORD1116</t>
  </si>
  <si>
    <t xml:space="preserve">ORD1224</t>
  </si>
  <si>
    <t xml:space="preserve">ORD1054</t>
  </si>
  <si>
    <t xml:space="preserve">ORD1825</t>
  </si>
  <si>
    <t xml:space="preserve">ORD1842</t>
  </si>
  <si>
    <t xml:space="preserve">ORD1306</t>
  </si>
  <si>
    <t xml:space="preserve">ORD1493</t>
  </si>
  <si>
    <t xml:space="preserve">ORD1260</t>
  </si>
  <si>
    <t xml:space="preserve">ORD1126</t>
  </si>
  <si>
    <t xml:space="preserve">ORD1579</t>
  </si>
  <si>
    <t xml:space="preserve">ORD1563</t>
  </si>
  <si>
    <t xml:space="preserve">ORD1044</t>
  </si>
  <si>
    <t xml:space="preserve">ORD1163</t>
  </si>
  <si>
    <t xml:space="preserve">ORD1331</t>
  </si>
  <si>
    <t xml:space="preserve">ORD1607</t>
  </si>
  <si>
    <t xml:space="preserve">ORD1399</t>
  </si>
  <si>
    <t xml:space="preserve">ORD1744</t>
  </si>
  <si>
    <t xml:space="preserve">ORD1214</t>
  </si>
  <si>
    <t xml:space="preserve">ORD1828</t>
  </si>
  <si>
    <t xml:space="preserve">ORD1097</t>
  </si>
  <si>
    <t xml:space="preserve">ORD1813</t>
  </si>
  <si>
    <t xml:space="preserve">ORD1035</t>
  </si>
  <si>
    <t xml:space="preserve">ORD1772</t>
  </si>
  <si>
    <t xml:space="preserve">ORD1726</t>
  </si>
  <si>
    <t xml:space="preserve">ORD1395</t>
  </si>
  <si>
    <t xml:space="preserve">ORD1255</t>
  </si>
  <si>
    <t xml:space="preserve">ORD1817</t>
  </si>
  <si>
    <t xml:space="preserve">ORD1844</t>
  </si>
  <si>
    <t xml:space="preserve">ORD1197</t>
  </si>
  <si>
    <t xml:space="preserve">ORD1186</t>
  </si>
  <si>
    <t xml:space="preserve">ORD1482</t>
  </si>
  <si>
    <t xml:space="preserve">ORD1557</t>
  </si>
  <si>
    <t xml:space="preserve">ORD1781</t>
  </si>
  <si>
    <t xml:space="preserve">ORD1402</t>
  </si>
  <si>
    <t xml:space="preserve">ORD1273</t>
  </si>
  <si>
    <t xml:space="preserve">ORD1058</t>
  </si>
  <si>
    <t xml:space="preserve">ORD1863</t>
  </si>
  <si>
    <t xml:space="preserve">ORD1083</t>
  </si>
  <si>
    <t xml:space="preserve">ORD1339</t>
  </si>
  <si>
    <t xml:space="preserve">ORD1033</t>
  </si>
  <si>
    <t xml:space="preserve">ORD1792</t>
  </si>
  <si>
    <t xml:space="preserve">ORD1891</t>
  </si>
  <si>
    <t xml:space="preserve">ORD1320</t>
  </si>
  <si>
    <t xml:space="preserve">ORD1431</t>
  </si>
  <si>
    <t xml:space="preserve">ORD1351</t>
  </si>
  <si>
    <t xml:space="preserve">ORD1223</t>
  </si>
  <si>
    <t xml:space="preserve">ORD1506</t>
  </si>
  <si>
    <t xml:space="preserve">ORD1016</t>
  </si>
  <si>
    <t xml:space="preserve">ORD1155</t>
  </si>
  <si>
    <t xml:space="preserve">ORD1093</t>
  </si>
  <si>
    <t xml:space="preserve">ORD1239</t>
  </si>
  <si>
    <t xml:space="preserve">ORD1674</t>
  </si>
  <si>
    <t xml:space="preserve">ORD1449</t>
  </si>
  <si>
    <t xml:space="preserve">ORD1861</t>
  </si>
  <si>
    <t xml:space="preserve">ORD1725</t>
  </si>
  <si>
    <t xml:space="preserve">ORD1289</t>
  </si>
  <si>
    <t xml:space="preserve">ORD1105</t>
  </si>
  <si>
    <t xml:space="preserve">ORD1191</t>
  </si>
  <si>
    <t xml:space="preserve">ORD1023</t>
  </si>
  <si>
    <t xml:space="preserve">ORD1675</t>
  </si>
  <si>
    <t xml:space="preserve">ORD1051</t>
  </si>
  <si>
    <t xml:space="preserve">ORD1156</t>
  </si>
  <si>
    <t xml:space="preserve">ORD1020</t>
  </si>
  <si>
    <t xml:space="preserve">ORD1329</t>
  </si>
  <si>
    <t xml:space="preserve">ORD1640</t>
  </si>
  <si>
    <t xml:space="preserve">ORD1673</t>
  </si>
  <si>
    <t xml:space="preserve">ORD1831</t>
  </si>
  <si>
    <t xml:space="preserve">ORD1464</t>
  </si>
  <si>
    <t xml:space="preserve">ORD1735</t>
  </si>
  <si>
    <t xml:space="preserve">ORD1467</t>
  </si>
  <si>
    <t xml:space="preserve">ORD1114</t>
  </si>
  <si>
    <t xml:space="preserve">ORD1297</t>
  </si>
  <si>
    <t xml:space="preserve">ORD1679</t>
  </si>
  <si>
    <t xml:space="preserve">ORD1187</t>
  </si>
  <si>
    <t xml:space="preserve">ORD1071</t>
  </si>
  <si>
    <t xml:space="preserve">ORD1193</t>
  </si>
  <si>
    <t xml:space="preserve">ORD1686</t>
  </si>
  <si>
    <t xml:space="preserve">ORD1897</t>
  </si>
  <si>
    <t xml:space="preserve">ORD1545</t>
  </si>
  <si>
    <t xml:space="preserve">ORD1847</t>
  </si>
  <si>
    <t xml:space="preserve">ORD1712</t>
  </si>
  <si>
    <t xml:space="preserve">ORD1784</t>
  </si>
  <si>
    <t xml:space="preserve">ORD1851</t>
  </si>
  <si>
    <t xml:space="preserve">ORD1246</t>
  </si>
  <si>
    <t xml:space="preserve">ORD1641</t>
  </si>
  <si>
    <t xml:space="preserve">ORD1433</t>
  </si>
  <si>
    <t xml:space="preserve">ORD1751</t>
  </si>
  <si>
    <t xml:space="preserve">ORD1899</t>
  </si>
  <si>
    <t xml:space="preserve">ORD1226</t>
  </si>
  <si>
    <t xml:space="preserve">ORD1388</t>
  </si>
  <si>
    <t xml:space="preserve">ORD1731</t>
  </si>
  <si>
    <t xml:space="preserve">ORD1837</t>
  </si>
  <si>
    <t xml:space="preserve">ORD1256</t>
  </si>
  <si>
    <t xml:space="preserve">ORD1768</t>
  </si>
  <si>
    <t xml:space="preserve">ORD1448</t>
  </si>
  <si>
    <t xml:space="preserve">ORD1575</t>
  </si>
  <si>
    <t xml:space="preserve">ORD1818</t>
  </si>
  <si>
    <t xml:space="preserve">ORD1194</t>
  </si>
  <si>
    <t xml:space="preserve">ORD1383</t>
  </si>
  <si>
    <t xml:space="preserve">ORD1711</t>
  </si>
  <si>
    <t xml:space="preserve">ORD1008</t>
  </si>
  <si>
    <t xml:space="preserve">ORD1237</t>
  </si>
  <si>
    <t xml:space="preserve">ORD1705</t>
  </si>
  <si>
    <t xml:space="preserve">ORD1300</t>
  </si>
  <si>
    <t xml:space="preserve">ORD1441</t>
  </si>
  <si>
    <t xml:space="preserve">ORD1857</t>
  </si>
  <si>
    <t xml:space="preserve">ORD1307</t>
  </si>
  <si>
    <t xml:space="preserve">ORD1489</t>
  </si>
  <si>
    <t xml:space="preserve">ORD1504</t>
  </si>
  <si>
    <t xml:space="preserve">ORD1548</t>
  </si>
  <si>
    <t xml:space="preserve">ORD1481</t>
  </si>
  <si>
    <t xml:space="preserve">ORD1793</t>
  </si>
  <si>
    <t xml:space="preserve">ORD1862</t>
  </si>
  <si>
    <t xml:space="preserve">ORD1140</t>
  </si>
  <si>
    <t xml:space="preserve">ORD1536</t>
  </si>
  <si>
    <t xml:space="preserve">ORD1001</t>
  </si>
  <si>
    <t xml:space="preserve">ORD1011</t>
  </si>
  <si>
    <t xml:space="preserve">ORD1311</t>
  </si>
  <si>
    <t xml:space="preserve">ORD1734</t>
  </si>
  <si>
    <t xml:space="preserve">ORD1858</t>
  </si>
  <si>
    <t xml:space="preserve">ORD1423</t>
  </si>
  <si>
    <t xml:space="preserve">ORD1893</t>
  </si>
  <si>
    <t xml:space="preserve">ORD1316</t>
  </si>
  <si>
    <t xml:space="preserve">ORD1453</t>
  </si>
  <si>
    <t xml:space="preserve">ORD1092</t>
  </si>
  <si>
    <t xml:space="preserve">ORD1233</t>
  </si>
  <si>
    <t xml:space="preserve">ORD1838</t>
  </si>
  <si>
    <t xml:space="preserve">ORD1494</t>
  </si>
  <si>
    <t xml:space="preserve">ORD1356</t>
  </si>
  <si>
    <t xml:space="preserve">ORD1318</t>
  </si>
  <si>
    <t xml:space="preserve">ORD1850</t>
  </si>
  <si>
    <t xml:space="preserve">ORD1655</t>
  </si>
  <si>
    <t xml:space="preserve">ORD1788</t>
  </si>
  <si>
    <t xml:space="preserve">ORD1871</t>
  </si>
  <si>
    <t xml:space="preserve">ORD1446</t>
  </si>
  <si>
    <t xml:space="preserve">ORD1578</t>
  </si>
  <si>
    <t xml:space="preserve">ORD1652</t>
  </si>
  <si>
    <t xml:space="preserve">ORD1785</t>
  </si>
  <si>
    <t xml:space="preserve">ORD1468</t>
  </si>
  <si>
    <t xml:space="preserve">ORD1612</t>
  </si>
  <si>
    <t xml:space="preserve">ORD1606</t>
  </si>
  <si>
    <t xml:space="preserve">ORD1182</t>
  </si>
  <si>
    <t xml:space="preserve">ORD1553</t>
  </si>
  <si>
    <t xml:space="preserve">ORD1139</t>
  </si>
  <si>
    <t xml:space="preserve">ORD1766</t>
  </si>
  <si>
    <t xml:space="preserve">ORD1743</t>
  </si>
  <si>
    <t xml:space="preserve">ORD1279</t>
  </si>
  <si>
    <t xml:space="preserve">ORD1554</t>
  </si>
  <si>
    <t xml:space="preserve">ORD1479</t>
  </si>
  <si>
    <t xml:space="preserve">ORD1832</t>
  </si>
  <si>
    <t xml:space="preserve">ORD1366</t>
  </si>
  <si>
    <t xml:space="preserve">ORD1036</t>
  </si>
  <si>
    <t xml:space="preserve">ORD1030</t>
  </si>
  <si>
    <t xml:space="preserve">ORD1175</t>
  </si>
  <si>
    <t xml:space="preserve">ORD1540</t>
  </si>
  <si>
    <t xml:space="preserve">ORD1877</t>
  </si>
  <si>
    <t xml:space="preserve">ORD1130</t>
  </si>
  <si>
    <t xml:space="preserve">ORD1642</t>
  </si>
  <si>
    <t xml:space="preserve">ORD1454</t>
  </si>
  <si>
    <t xml:space="preserve">ORD1291</t>
  </si>
  <si>
    <t xml:space="preserve">ORD1254</t>
  </si>
  <si>
    <t xml:space="preserve">ORD1874</t>
  </si>
  <si>
    <t xml:space="preserve">ORD1317</t>
  </si>
  <si>
    <t xml:space="preserve">ORD1400</t>
  </si>
  <si>
    <t xml:space="preserve">ORD1671</t>
  </si>
  <si>
    <t xml:space="preserve">ORD1087</t>
  </si>
  <si>
    <t xml:space="preserve">ORD1633</t>
  </si>
  <si>
    <t xml:space="preserve">ORD1269</t>
  </si>
  <si>
    <t xml:space="preserve">ORD1107</t>
  </si>
  <si>
    <t xml:space="preserve">ORD1086</t>
  </si>
  <si>
    <t xml:space="preserve">ORD1537</t>
  </si>
  <si>
    <t xml:space="preserve">ORD1748</t>
  </si>
  <si>
    <t xml:space="preserve">ORD1027</t>
  </si>
  <si>
    <t xml:space="preserve">ORD1056</t>
  </si>
  <si>
    <t xml:space="preserve">ORD1900</t>
  </si>
  <si>
    <t xml:space="preserve">ORD1859</t>
  </si>
  <si>
    <t xml:space="preserve">ORD1066</t>
  </si>
  <si>
    <t xml:space="preserve">ORD1098</t>
  </si>
  <si>
    <t xml:space="preserve">ORD1106</t>
  </si>
  <si>
    <t xml:space="preserve">ORD1407</t>
  </si>
  <si>
    <t xml:space="preserve">ORD1171</t>
  </si>
  <si>
    <t xml:space="preserve">ORD1889</t>
  </si>
  <si>
    <t xml:space="preserve">ORD1780</t>
  </si>
  <si>
    <t xml:space="preserve">ORD1887</t>
  </si>
  <si>
    <t xml:space="preserve">ORD1258</t>
  </si>
  <si>
    <t xml:space="preserve">ORD1678</t>
  </si>
  <si>
    <t xml:space="preserve">ORD1241</t>
  </si>
  <si>
    <t xml:space="preserve">ORD1746</t>
  </si>
  <si>
    <t xml:space="preserve">ORD1129</t>
  </si>
  <si>
    <t xml:space="preserve">ORD1024</t>
  </si>
  <si>
    <t xml:space="preserve">ORD1892</t>
  </si>
  <si>
    <t xml:space="preserve">ORD1789</t>
  </si>
  <si>
    <t xml:space="preserve">ORD1424</t>
  </si>
  <si>
    <t xml:space="preserve">ORD1880</t>
  </si>
  <si>
    <t xml:space="preserve">ORD1534</t>
  </si>
  <si>
    <t xml:space="preserve">ORD1602</t>
  </si>
  <si>
    <t xml:space="preserve">ORD1372</t>
  </si>
  <si>
    <t xml:space="preserve">ORD1456</t>
  </si>
  <si>
    <t xml:space="preserve">ORD1278</t>
  </si>
  <si>
    <t xml:space="preserve">ORD1405</t>
  </si>
  <si>
    <t xml:space="preserve">ORD1661</t>
  </si>
  <si>
    <t xml:space="preserve">ORD1620</t>
  </si>
  <si>
    <t xml:space="preserve">ORD1274</t>
  </si>
  <si>
    <t xml:space="preserve">ORD1728</t>
  </si>
  <si>
    <t xml:space="preserve">ORD1299</t>
  </si>
  <si>
    <t xml:space="preserve">ORD1669</t>
  </si>
  <si>
    <t xml:space="preserve">ORD1325</t>
  </si>
  <si>
    <t xml:space="preserve">ORD1322</t>
  </si>
  <si>
    <t xml:space="preserve">ORD1234</t>
  </si>
  <si>
    <t xml:space="preserve">ORD1894</t>
  </si>
  <si>
    <t xml:space="preserve">ORD1166</t>
  </si>
  <si>
    <t xml:space="preserve">ORD1082</t>
  </si>
  <si>
    <t xml:space="preserve">ORD1074</t>
  </si>
  <si>
    <t xml:space="preserve">ORD1415</t>
  </si>
  <si>
    <t xml:space="preserve">ORD1895</t>
  </si>
  <si>
    <t xml:space="preserve">ORD1791</t>
  </si>
  <si>
    <t xml:space="preserve">ORD1855</t>
  </si>
  <si>
    <t xml:space="preserve">ORD1346</t>
  </si>
  <si>
    <t xml:space="preserve">ORD1656</t>
  </si>
  <si>
    <t xml:space="preserve">ORD1172</t>
  </si>
  <si>
    <t xml:space="preserve">ORD1149</t>
  </si>
  <si>
    <t xml:space="preserve">ORD1647</t>
  </si>
  <si>
    <t xml:space="preserve">ORD1475</t>
  </si>
  <si>
    <t xml:space="preserve">ORD1294</t>
  </si>
  <si>
    <t xml:space="preserve">ORD1865</t>
  </si>
  <si>
    <t xml:space="preserve">ORD1458</t>
  </si>
  <si>
    <t xml:space="preserve">ORD1755</t>
  </si>
  <si>
    <t xml:space="preserve">ORD1794</t>
  </si>
  <si>
    <t xml:space="preserve">ORD1500</t>
  </si>
  <si>
    <t xml:space="preserve">ORD1523</t>
  </si>
  <si>
    <t xml:space="preserve">ORD1690</t>
  </si>
  <si>
    <t xml:space="preserve">ORD1333</t>
  </si>
  <si>
    <t xml:space="preserve">ORD1364</t>
  </si>
  <si>
    <t xml:space="preserve">ORD1292</t>
  </si>
  <si>
    <t xml:space="preserve">ORD1800</t>
  </si>
  <si>
    <t xml:space="preserve">ORD1408</t>
  </si>
  <si>
    <t xml:space="preserve">ORD1552</t>
  </si>
  <si>
    <t xml:space="preserve">ORD1665</t>
  </si>
  <si>
    <t xml:space="preserve">ORD1666</t>
  </si>
  <si>
    <t xml:space="preserve">ORD1876</t>
  </si>
  <si>
    <t xml:space="preserve">ORD1591</t>
  </si>
  <si>
    <t xml:space="preserve">ORD1204</t>
  </si>
  <si>
    <t xml:space="preserve">ORD1621</t>
  </si>
  <si>
    <t xml:space="preserve">ORD1696</t>
  </si>
  <si>
    <t xml:space="preserve">ORD1360</t>
  </si>
  <si>
    <t xml:space="preserve">ORD1125</t>
  </si>
  <si>
    <t xml:space="preserve">ORD1422</t>
  </si>
  <si>
    <t xml:space="preserve">ORD1021</t>
  </si>
  <si>
    <t xml:space="preserve">ORD1353</t>
  </si>
  <si>
    <t xml:space="preserve">ORD1264</t>
  </si>
  <si>
    <t xml:space="preserve">ORD1571</t>
  </si>
  <si>
    <t xml:space="preserve">ORD1574</t>
  </si>
  <si>
    <t xml:space="preserve">ORD1369</t>
  </si>
  <si>
    <t xml:space="preserve">ORD1370</t>
  </si>
  <si>
    <t xml:space="preserve">ORD1267</t>
  </si>
  <si>
    <t xml:space="preserve">ORD1343</t>
  </si>
  <si>
    <t xml:space="preserve">ORD1763</t>
  </si>
  <si>
    <t xml:space="preserve">ORD1461</t>
  </si>
  <si>
    <t xml:space="preserve">ORD1099</t>
  </si>
  <si>
    <t xml:space="preserve">ORD1645</t>
  </si>
  <si>
    <t xml:space="preserve">ORD1488</t>
  </si>
  <si>
    <t xml:space="preserve">ORD1261</t>
  </si>
  <si>
    <t xml:space="preserve">ORD1873</t>
  </si>
  <si>
    <t xml:space="preserve">ORD1221</t>
  </si>
  <si>
    <t xml:space="preserve">ORD1062</t>
  </si>
  <si>
    <t xml:space="preserve">ORD1168</t>
  </si>
  <si>
    <t xml:space="preserve">ORD1708</t>
  </si>
  <si>
    <t xml:space="preserve">ORD1102</t>
  </si>
  <si>
    <t xml:space="preserve">ORD1049</t>
  </si>
  <si>
    <t xml:space="preserve">ORD1582</t>
  </si>
  <si>
    <t xml:space="preserve">ORD1576</t>
  </si>
  <si>
    <t xml:space="preserve">ORD1257</t>
  </si>
  <si>
    <t xml:space="preserve">ORD1308</t>
  </si>
  <si>
    <t xml:space="preserve">ORD1499</t>
  </si>
  <si>
    <t xml:space="preserve">ORD1805</t>
  </si>
  <si>
    <t xml:space="preserve">ORD1738</t>
  </si>
  <si>
    <t xml:space="preserve">ORD1547</t>
  </si>
  <si>
    <t xml:space="preserve">ORD1530</t>
  </si>
  <si>
    <t xml:space="preserve">ORD1646</t>
  </si>
  <si>
    <t xml:space="preserve">ORD1138</t>
  </si>
  <si>
    <t xml:space="preserve">ORD1512</t>
  </si>
  <si>
    <t xml:space="preserve">ORD1432</t>
  </si>
  <si>
    <t xml:space="preserve">ORD1181</t>
  </si>
  <si>
    <t xml:space="preserve">ORD1010</t>
  </si>
  <si>
    <t xml:space="preserve">ORD1826</t>
  </si>
  <si>
    <t xml:space="preserve">ORD1485</t>
  </si>
  <si>
    <t xml:space="preserve">ORD1154</t>
  </si>
  <si>
    <t xml:space="preserve">ORD1757</t>
  </si>
  <si>
    <t xml:space="preserve">ORD1820</t>
  </si>
  <si>
    <t xml:space="preserve">ORD1150</t>
  </si>
  <si>
    <t xml:space="preserve">ORD1201</t>
  </si>
  <si>
    <t xml:space="preserve">ORD1391</t>
  </si>
  <si>
    <t xml:space="preserve">ORD1443</t>
  </si>
  <si>
    <t xml:space="preserve">ORD1569</t>
  </si>
  <si>
    <t xml:space="preserve">ORD1242</t>
  </si>
  <si>
    <t xml:space="preserve">ORD1824</t>
  </si>
  <si>
    <t xml:space="preserve">ORD1277</t>
  </si>
  <si>
    <t xml:space="preserve">ORD1739</t>
  </si>
  <si>
    <t xml:space="preserve">ORD1103</t>
  </si>
  <si>
    <t xml:space="preserve">ORD1834</t>
  </si>
  <si>
    <t xml:space="preserve">ORD1235</t>
  </si>
  <si>
    <t xml:space="preserve">ORD1590</t>
  </si>
  <si>
    <t xml:space="preserve">ORD1135</t>
  </si>
  <si>
    <t xml:space="preserve">ORD1586</t>
  </si>
  <si>
    <t xml:space="preserve">ORD1185</t>
  </si>
  <si>
    <t xml:space="preserve">ORD1462</t>
  </si>
  <si>
    <t xml:space="preserve">ORD1287</t>
  </si>
  <si>
    <t xml:space="preserve">ORD1411</t>
  </si>
  <si>
    <t xml:space="preserve">ORD1875</t>
  </si>
  <si>
    <t xml:space="preserve">ORD1374</t>
  </si>
  <si>
    <t xml:space="preserve">ORD1382</t>
  </si>
  <si>
    <t xml:space="preserve">ORD1771</t>
  </si>
  <si>
    <t xml:space="preserve">ORD1718</t>
  </si>
  <si>
    <t xml:space="preserve">ORD1430</t>
  </si>
  <si>
    <t xml:space="preserve">ORD1435</t>
  </si>
  <si>
    <t xml:space="preserve">ORD1511</t>
  </si>
  <si>
    <t xml:space="preserve">ORD1189</t>
  </si>
  <si>
    <t xml:space="preserve">ORD1375</t>
  </si>
  <si>
    <t xml:space="preserve">ORD1352</t>
  </si>
  <si>
    <t xml:space="preserve">ORD1483</t>
  </si>
  <si>
    <t xml:space="preserve">ORD1276</t>
  </si>
  <si>
    <t xml:space="preserve">ORD1243</t>
  </si>
  <si>
    <t xml:space="preserve">ORD1270</t>
  </si>
  <si>
    <t xml:space="preserve">ORD1562</t>
  </si>
  <si>
    <t xml:space="preserve">ORD1192</t>
  </si>
  <si>
    <t xml:space="preserve">ORD1266</t>
  </si>
  <si>
    <t xml:space="preserve">ORD1883</t>
  </si>
  <si>
    <t xml:space="preserve">ORD1628</t>
  </si>
  <si>
    <t xml:space="preserve">ORD1371</t>
  </si>
  <si>
    <t xml:space="preserve">ORD1334</t>
  </si>
  <si>
    <t xml:space="preserve">ORD1104</t>
  </si>
  <si>
    <t xml:space="preserve">ORD1595</t>
  </si>
  <si>
    <t xml:space="preserve">ORD1389</t>
  </si>
  <si>
    <t xml:space="preserve">ORD1216</t>
  </si>
  <si>
    <t xml:space="preserve">ORD1691</t>
  </si>
  <si>
    <t xml:space="preserve">ORD1013</t>
  </si>
  <si>
    <t xml:space="preserve">ORD1009</t>
  </si>
  <si>
    <t xml:space="preserve">ORD1706</t>
  </si>
  <si>
    <t xml:space="preserve">ORD1324</t>
  </si>
  <si>
    <t xml:space="preserve">ORD1472</t>
  </si>
  <si>
    <t xml:space="preserve">ORD1531</t>
  </si>
  <si>
    <t xml:space="preserve">ORD1716</t>
  </si>
  <si>
    <t xml:space="preserve">ORD1124</t>
  </si>
  <si>
    <t xml:space="preserve">ORD1469</t>
  </si>
  <si>
    <t xml:space="preserve">ORD1179</t>
  </si>
  <si>
    <t xml:space="preserve">ORD1795</t>
  </si>
  <si>
    <t xml:space="preserve">ORD1703</t>
  </si>
  <si>
    <t xml:space="preserve">ORD1882</t>
  </si>
  <si>
    <t xml:space="preserve">ORD1404</t>
  </si>
  <si>
    <t xml:space="preserve">Note: this sheet is the data as originally collected — it intentionally contains duplicate rows and a few blank Sales_Amount/Profit values, for the data-cleaning step (Part A, step 2).</t>
  </si>
  <si>
    <t xml:space="preserve">Order ID</t>
  </si>
  <si>
    <t xml:space="preserve">Order Date</t>
  </si>
  <si>
    <t xml:space="preserve">Sales Amount</t>
  </si>
  <si>
    <t xml:space="preserve">Total Sales</t>
  </si>
  <si>
    <t xml:space="preserve">Profit Margin</t>
  </si>
  <si>
    <t xml:space="preserve">Month Num</t>
  </si>
  <si>
    <t xml:space="preserve">Total Sales = Sales Amount (per-order total). Profit Margin = Profit / Sales Amount. Month Num is a helper column used by the pivot tables on the next sheets.</t>
  </si>
  <si>
    <t xml:space="preserve">PIVOT TABLE — Sales by Region</t>
  </si>
  <si>
    <t xml:space="preserve">Total Profit</t>
  </si>
  <si>
    <t xml:space="preserve">Order Count</t>
  </si>
  <si>
    <t xml:space="preserve">Grand Total</t>
  </si>
  <si>
    <t xml:space="preserve">PIVOT TABLE — Sales by Product</t>
  </si>
  <si>
    <t xml:space="preserve">Units Sold</t>
  </si>
  <si>
    <t xml:space="preserve">PIVOT TABLE — Monthly Sales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</si>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</sst>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dd\-mm\-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203A"/>
      <name val="Arial"/>
      <family val="0"/>
      <charset val="1"/>
    </font>
    <font>
      <sz val="9.5"/>
      <color rgb="FF5B6685"/>
      <name val="Arial"/>
      <family val="0"/>
      <charset val="1"/>
    </font>
    <font>
      <sz val="8.5"/>
      <color rgb="FF5B6685"/>
      <name val="Arial"/>
      <family val="0"/>
      <charset val="1"/>
    </font>
    <font>
      <b val="true"/>
      <sz val="16"/>
      <color rgb="FF16203A"/>
      <name val="Arial"/>
      <family val="0"/>
      <charset val="1"/>
    </font>
    <font>
      <b val="true"/>
      <sz val="10"/>
      <color rgb="FF16203A"/>
      <name val="Arial"/>
      <family val="0"/>
      <charset val="1"/>
    </font>
    <font>
      <b val="true"/>
      <sz val="10"/>
      <color rgb="FF2A9D8F"/>
      <name val="Arial"/>
      <family val="0"/>
      <charset val="1"/>
    </font>
    <font>
      <b val="true"/>
      <sz val="10"/>
      <color rgb="FFE9A339"/>
      <name val="Arial"/>
      <family val="0"/>
      <charset val="1"/>
    </font>
    <font>
      <b val="true"/>
      <sz val="10"/>
      <color rgb="FFD9534F"/>
      <name val="Arial"/>
      <family val="0"/>
      <charset val="1"/>
    </font>
    <font>
      <i val="true"/>
      <sz val="9"/>
      <color rgb="FF5B668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8C96AF"/>
      <name val="Arial"/>
      <family val="0"/>
      <charset val="1"/>
    </font>
    <font>
      <b val="true"/>
      <sz val="12"/>
      <color rgb="FF16203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B"/>
        <bgColor rgb="FFFFFFFF"/>
      </patternFill>
    </fill>
    <fill>
      <patternFill patternType="solid">
        <fgColor rgb="FF16203A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9D8F"/>
      </left>
      <right/>
      <top/>
      <bottom/>
      <diagonal/>
    </border>
    <border diagonalUp="false" diagonalDown="false">
      <left style="medium">
        <color rgb="FFE9A339"/>
      </left>
      <right/>
      <top/>
      <bottom/>
      <diagonal/>
    </border>
    <border diagonalUp="false" diagonalDown="false">
      <left style="medium">
        <color rgb="FF9C8CF0"/>
      </left>
      <right/>
      <top/>
      <bottom/>
      <diagonal/>
    </border>
    <border diagonalUp="false" diagonalDown="false">
      <left style="medium">
        <color rgb="FFD9534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20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66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C96A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C8CF0"/>
      <rgbColor rgb="FFC0504D"/>
      <rgbColor rgb="FFF7F8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E9A339"/>
      <rgbColor rgb="FFD9534F"/>
      <rgbColor rgb="FF5B6685"/>
      <rgbColor rgb="FF8C96AF"/>
      <rgbColor rgb="FF003366"/>
      <rgbColor rgb="FF2A9D8F"/>
      <rgbColor rgb="FF003300"/>
      <rgbColor rgb="FF333300"/>
      <rgbColor rgb="FF993300"/>
      <rgbColor rgb="FF8064A2"/>
      <rgbColor rgb="FF333399"/>
      <rgbColor rgb="FF162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Pivot_Sales_by_Region!B3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Pivot_Sales_by_Region!$A$4:$A$8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Pivot_Sales_by_Region!$B$4:$B$8</c:f>
              <c:numCache>
                <c:formatCode>#,##0</c:formatCode>
                <c:ptCount val="5"/>
                <c:pt idx="0">
                  <c:v>12036654</c:v>
                </c:pt>
                <c:pt idx="1">
                  <c:v>12844629</c:v>
                </c:pt>
                <c:pt idx="2">
                  <c:v>13271189</c:v>
                </c:pt>
                <c:pt idx="3">
                  <c:v>9400399</c:v>
                </c:pt>
                <c:pt idx="4">
                  <c:v>10460456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Pivot_Sales_by_Region!B3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Pivot_Sales_by_Region!$A$4:$A$8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Pivot_Sales_by_Region!$B$4:$B$8</c:f>
              <c:numCache>
                <c:formatCode>#,##0</c:formatCode>
                <c:ptCount val="5"/>
                <c:pt idx="0">
                  <c:v>12036654</c:v>
                </c:pt>
                <c:pt idx="1">
                  <c:v>12844629</c:v>
                </c:pt>
                <c:pt idx="2">
                  <c:v>13271189</c:v>
                </c:pt>
                <c:pt idx="3">
                  <c:v>9400399</c:v>
                </c:pt>
                <c:pt idx="4">
                  <c:v>10460456</c:v>
                </c:pt>
              </c:numCache>
            </c:numRef>
          </c:val>
        </c:ser>
        <c:gapWidth val="150"/>
        <c:overlap val="0"/>
        <c:axId val="73937769"/>
        <c:axId val="7472273"/>
      </c:barChart>
      <c:catAx>
        <c:axId val="739377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2273"/>
        <c:crosses val="autoZero"/>
        <c:auto val="1"/>
        <c:lblAlgn val="ctr"/>
        <c:lblOffset val="100"/>
        <c:noMultiLvlLbl val="0"/>
      </c:catAx>
      <c:valAx>
        <c:axId val="7472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377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Pivot_Sales_by_Product!B3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Pivot_Sales_by_Product!$A$4:$A$11</c:f>
              <c:strCache>
                <c:ptCount val="8"/>
                <c:pt idx="0">
                  <c:v>Laptop</c:v>
                </c:pt>
                <c:pt idx="1">
                  <c:v>Tablet</c:v>
                </c:pt>
                <c:pt idx="2">
                  <c:v>Sofa</c:v>
                </c:pt>
                <c:pt idx="3">
                  <c:v>Smartphone</c:v>
                </c:pt>
                <c:pt idx="4">
                  <c:v>Bed Frame</c:v>
                </c:pt>
                <c:pt idx="5">
                  <c:v>Study Table</c:v>
                </c:pt>
                <c:pt idx="6">
                  <c:v>Water Purifier</c:v>
                </c:pt>
                <c:pt idx="7">
                  <c:v>Office Chair</c:v>
                </c:pt>
              </c:strCache>
            </c:strRef>
          </c:cat>
          <c:val>
            <c:numRef>
              <c:f>Pivot_Sales_by_Product!$B$4:$B$11</c:f>
              <c:numCache>
                <c:formatCode>#,##0</c:formatCode>
                <c:ptCount val="8"/>
                <c:pt idx="0">
                  <c:v>10848853</c:v>
                </c:pt>
                <c:pt idx="1">
                  <c:v>8305639</c:v>
                </c:pt>
                <c:pt idx="2">
                  <c:v>7663745</c:v>
                </c:pt>
                <c:pt idx="3">
                  <c:v>6920398</c:v>
                </c:pt>
                <c:pt idx="4">
                  <c:v>5382481</c:v>
                </c:pt>
                <c:pt idx="5">
                  <c:v>2761518</c:v>
                </c:pt>
                <c:pt idx="6">
                  <c:v>2195680</c:v>
                </c:pt>
                <c:pt idx="7">
                  <c:v>2163186</c:v>
                </c:pt>
              </c:numCache>
            </c:numRef>
          </c:val>
        </c:ser>
        <c:gapWidth val="150"/>
        <c:overlap val="0"/>
        <c:axId val="92127640"/>
        <c:axId val="30022555"/>
      </c:barChart>
      <c:catAx>
        <c:axId val="921276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22555"/>
        <c:crosses val="autoZero"/>
        <c:auto val="1"/>
        <c:lblAlgn val="ctr"/>
        <c:lblOffset val="100"/>
        <c:noMultiLvlLbl val="0"/>
      </c:catAx>
      <c:valAx>
        <c:axId val="30022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27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Pivot_Monthly_Trend!B3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Pivot_Monthly_Trend!$A$4:$A$15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Pivot_Monthly_Trend!$B$4:$B$15</c:f>
              <c:numCache>
                <c:formatCode>#,##0</c:formatCode>
                <c:ptCount val="12"/>
                <c:pt idx="0">
                  <c:v>4634266</c:v>
                </c:pt>
                <c:pt idx="1">
                  <c:v>5520648</c:v>
                </c:pt>
                <c:pt idx="2">
                  <c:v>4789980</c:v>
                </c:pt>
                <c:pt idx="3">
                  <c:v>4749898</c:v>
                </c:pt>
                <c:pt idx="4">
                  <c:v>3609800</c:v>
                </c:pt>
                <c:pt idx="5">
                  <c:v>5070996</c:v>
                </c:pt>
                <c:pt idx="6">
                  <c:v>4111057</c:v>
                </c:pt>
                <c:pt idx="7">
                  <c:v>5487151</c:v>
                </c:pt>
                <c:pt idx="8">
                  <c:v>4669817</c:v>
                </c:pt>
                <c:pt idx="9">
                  <c:v>6209709</c:v>
                </c:pt>
                <c:pt idx="10">
                  <c:v>4734019</c:v>
                </c:pt>
                <c:pt idx="11">
                  <c:v>4425986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301650"/>
        <c:axId val="89059413"/>
      </c:lineChart>
      <c:catAx>
        <c:axId val="403016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59413"/>
        <c:crosses val="autoZero"/>
        <c:auto val="1"/>
        <c:lblAlgn val="ctr"/>
        <c:lblOffset val="100"/>
        <c:noMultiLvlLbl val="0"/>
      </c:catAx>
      <c:valAx>
        <c:axId val="89059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01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85680</xdr:rowOff>
    </xdr:from>
    <xdr:to>
      <xdr:col>5</xdr:col>
      <xdr:colOff>97920</xdr:colOff>
      <xdr:row>28</xdr:row>
      <xdr:rowOff>86400</xdr:rowOff>
    </xdr:to>
    <xdr:graphicFrame>
      <xdr:nvGraphicFramePr>
        <xdr:cNvPr id="0" name="Chart 1"/>
        <xdr:cNvGraphicFramePr/>
      </xdr:nvGraphicFramePr>
      <xdr:xfrm>
        <a:off x="0" y="2276280"/>
        <a:ext cx="46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14</xdr:col>
      <xdr:colOff>147240</xdr:colOff>
      <xdr:row>17</xdr:row>
      <xdr:rowOff>21600</xdr:rowOff>
    </xdr:to>
    <xdr:graphicFrame>
      <xdr:nvGraphicFramePr>
        <xdr:cNvPr id="1" name="Chart 1"/>
        <xdr:cNvGraphicFramePr/>
      </xdr:nvGraphicFramePr>
      <xdr:xfrm>
        <a:off x="5545440" y="38088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15</xdr:col>
      <xdr:colOff>255600</xdr:colOff>
      <xdr:row>20</xdr:row>
      <xdr:rowOff>170280</xdr:rowOff>
    </xdr:to>
    <xdr:graphicFrame>
      <xdr:nvGraphicFramePr>
        <xdr:cNvPr id="2" name="Chart 1"/>
        <xdr:cNvGraphicFramePr/>
      </xdr:nvGraphicFramePr>
      <xdr:xfrm>
        <a:off x="5827320" y="380880"/>
        <a:ext cx="57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255960</xdr:colOff>
      <xdr:row>17</xdr:row>
      <xdr:rowOff>21600</xdr:rowOff>
    </xdr:to>
    <xdr:graphicFrame>
      <xdr:nvGraphicFramePr>
        <xdr:cNvPr id="3" name="Chart 1"/>
        <xdr:cNvGraphicFramePr/>
      </xdr:nvGraphicFramePr>
      <xdr:xfrm>
        <a:off x="4276800" y="38088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3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</row>
    <row r="5" customFormat="false" ht="19.5" hidden="false" customHeight="true" outlineLevel="0" collapsed="false">
      <c r="A5" s="8" t="n">
        <f aca="false">Pivot_Sales_by_Region!B9</f>
        <v>58013327</v>
      </c>
      <c r="B5" s="8"/>
      <c r="C5" s="9" t="n">
        <f aca="false">Pivot_Sales_by_Region!C9</f>
        <v>9068026.96</v>
      </c>
      <c r="D5" s="9"/>
      <c r="E5" s="10" t="n">
        <f aca="false">Pivot_Sales_by_Region!E9</f>
        <v>0.156309376292106</v>
      </c>
      <c r="F5" s="10"/>
      <c r="G5" s="11" t="n">
        <f aca="false">Pivot_Sales_by_Region!D9</f>
        <v>900</v>
      </c>
      <c r="H5" s="11"/>
    </row>
    <row r="8" customFormat="false" ht="15" hidden="false" customHeight="true" outlineLevel="0" collapsed="false">
      <c r="A8" s="12" t="s">
        <v>6</v>
      </c>
      <c r="C8" s="13" t="str">
        <f aca="false">INDEX(Pivot_Sales_by_Region!A4:A8,MATCH(MAX(Pivot_Sales_by_Region!B4:B8),Pivot_Sales_by_Region!B4:B8,0))</f>
        <v>North</v>
      </c>
    </row>
    <row r="9" customFormat="false" ht="15" hidden="false" customHeight="true" outlineLevel="0" collapsed="false">
      <c r="A9" s="12" t="s">
        <v>7</v>
      </c>
      <c r="C9" s="14" t="str">
        <f aca="false">Pivot_Sales_by_Product!A4</f>
        <v>Laptop</v>
      </c>
    </row>
    <row r="10" customFormat="false" ht="15" hidden="false" customHeight="true" outlineLevel="0" collapsed="false">
      <c r="A10" s="12" t="s">
        <v>8</v>
      </c>
      <c r="C10" s="15" t="str">
        <f aca="false">INDEX(Pivot_Sales_by_Region!A4:A8,MATCH(MIN(Pivot_Sales_by_Region!B4:B8),Pivot_Sales_by_Region!B4:B8,0))</f>
        <v>South</v>
      </c>
    </row>
    <row r="30" customFormat="false" ht="15" hidden="false" customHeight="true" outlineLevel="0" collapsed="false">
      <c r="A30" s="16" t="s">
        <v>9</v>
      </c>
      <c r="B30" s="16"/>
      <c r="C30" s="16"/>
      <c r="D30" s="16"/>
      <c r="E30" s="16"/>
      <c r="F30" s="16"/>
      <c r="G30" s="16"/>
      <c r="H30" s="16"/>
    </row>
  </sheetData>
  <mergeCells count="11">
    <mergeCell ref="A1:F1"/>
    <mergeCell ref="A2:F2"/>
    <mergeCell ref="A4:B4"/>
    <mergeCell ref="C4:D4"/>
    <mergeCell ref="E4:F4"/>
    <mergeCell ref="G4:H4"/>
    <mergeCell ref="A5:B5"/>
    <mergeCell ref="C5:D5"/>
    <mergeCell ref="E5:F5"/>
    <mergeCell ref="G5:H5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15" hidden="false" customHeight="true" outlineLevel="0" collapsed="false">
      <c r="A1" s="17" t="s">
        <v>10</v>
      </c>
      <c r="B1" s="17" t="s">
        <v>11</v>
      </c>
      <c r="C1" s="17" t="s">
        <v>12</v>
      </c>
      <c r="D1" s="17" t="s">
        <v>13</v>
      </c>
      <c r="E1" s="17" t="s">
        <v>14</v>
      </c>
      <c r="F1" s="17" t="s">
        <v>15</v>
      </c>
      <c r="G1" s="17" t="s">
        <v>16</v>
      </c>
      <c r="H1" s="17" t="s">
        <v>17</v>
      </c>
    </row>
    <row r="2" customFormat="false" ht="15" hidden="false" customHeight="true" outlineLevel="0" collapsed="false">
      <c r="A2" s="18" t="s">
        <v>18</v>
      </c>
      <c r="B2" s="19" t="n">
        <v>45332</v>
      </c>
      <c r="C2" s="18" t="s">
        <v>19</v>
      </c>
      <c r="D2" s="18" t="s">
        <v>20</v>
      </c>
      <c r="E2" s="18" t="s">
        <v>21</v>
      </c>
      <c r="F2" s="20" t="n">
        <v>67464</v>
      </c>
      <c r="G2" s="20" t="n">
        <v>9175.1</v>
      </c>
      <c r="H2" s="18" t="n">
        <v>9</v>
      </c>
    </row>
    <row r="3" customFormat="false" ht="15" hidden="false" customHeight="true" outlineLevel="0" collapsed="false">
      <c r="A3" s="18" t="s">
        <v>22</v>
      </c>
      <c r="B3" s="19" t="n">
        <v>45614</v>
      </c>
      <c r="C3" s="18" t="s">
        <v>23</v>
      </c>
      <c r="D3" s="18" t="s">
        <v>24</v>
      </c>
      <c r="E3" s="18" t="s">
        <v>25</v>
      </c>
      <c r="F3" s="20" t="n">
        <v>8212</v>
      </c>
      <c r="G3" s="20" t="n">
        <v>1494.58</v>
      </c>
      <c r="H3" s="18" t="n">
        <v>4</v>
      </c>
    </row>
    <row r="4" customFormat="false" ht="15" hidden="false" customHeight="true" outlineLevel="0" collapsed="false">
      <c r="A4" s="18" t="s">
        <v>26</v>
      </c>
      <c r="B4" s="19" t="n">
        <v>45381</v>
      </c>
      <c r="C4" s="18" t="s">
        <v>27</v>
      </c>
      <c r="D4" s="18" t="s">
        <v>28</v>
      </c>
      <c r="E4" s="18" t="s">
        <v>29</v>
      </c>
      <c r="F4" s="20" t="n">
        <v>13152</v>
      </c>
      <c r="G4" s="20" t="n">
        <v>1407.26</v>
      </c>
      <c r="H4" s="18" t="n">
        <v>2</v>
      </c>
    </row>
    <row r="5" customFormat="false" ht="15" hidden="false" customHeight="true" outlineLevel="0" collapsed="false">
      <c r="A5" s="18" t="s">
        <v>30</v>
      </c>
      <c r="B5" s="19" t="n">
        <v>45626</v>
      </c>
      <c r="C5" s="18" t="s">
        <v>23</v>
      </c>
      <c r="D5" s="18" t="s">
        <v>31</v>
      </c>
      <c r="E5" s="18" t="s">
        <v>32</v>
      </c>
      <c r="F5" s="20" t="n">
        <v>491580</v>
      </c>
      <c r="G5" s="20" t="n">
        <v>85043.34</v>
      </c>
      <c r="H5" s="18" t="n">
        <v>9</v>
      </c>
    </row>
    <row r="6" customFormat="false" ht="15" hidden="false" customHeight="true" outlineLevel="0" collapsed="false">
      <c r="A6" s="18" t="s">
        <v>33</v>
      </c>
      <c r="B6" s="19" t="n">
        <v>45556</v>
      </c>
      <c r="C6" s="18" t="s">
        <v>23</v>
      </c>
      <c r="D6" s="18" t="s">
        <v>34</v>
      </c>
      <c r="E6" s="18" t="s">
        <v>25</v>
      </c>
      <c r="F6" s="20" t="n">
        <v>6010</v>
      </c>
      <c r="G6" s="20" t="n">
        <v>1045.74</v>
      </c>
      <c r="H6" s="18" t="n">
        <v>10</v>
      </c>
    </row>
    <row r="7" customFormat="false" ht="15" hidden="false" customHeight="true" outlineLevel="0" collapsed="false">
      <c r="A7" s="18" t="s">
        <v>35</v>
      </c>
      <c r="B7" s="19" t="n">
        <v>45596</v>
      </c>
      <c r="C7" s="18" t="s">
        <v>27</v>
      </c>
      <c r="D7" s="18" t="s">
        <v>36</v>
      </c>
      <c r="E7" s="18" t="s">
        <v>25</v>
      </c>
      <c r="F7" s="20" t="n">
        <v>10452</v>
      </c>
      <c r="G7" s="20" t="n">
        <v>2895.2</v>
      </c>
      <c r="H7" s="18" t="n">
        <v>6</v>
      </c>
    </row>
    <row r="8" customFormat="false" ht="15" hidden="false" customHeight="true" outlineLevel="0" collapsed="false">
      <c r="A8" s="18" t="s">
        <v>37</v>
      </c>
      <c r="B8" s="19" t="n">
        <v>45429</v>
      </c>
      <c r="C8" s="18" t="s">
        <v>19</v>
      </c>
      <c r="D8" s="18" t="s">
        <v>31</v>
      </c>
      <c r="E8" s="18" t="s">
        <v>32</v>
      </c>
      <c r="F8" s="20" t="n">
        <v>531408</v>
      </c>
      <c r="G8" s="20" t="n">
        <v>84493.87</v>
      </c>
      <c r="H8" s="18" t="n">
        <v>6</v>
      </c>
    </row>
    <row r="9" customFormat="false" ht="15" hidden="false" customHeight="true" outlineLevel="0" collapsed="false">
      <c r="A9" s="18" t="s">
        <v>38</v>
      </c>
      <c r="B9" s="19" t="n">
        <v>45312</v>
      </c>
      <c r="C9" s="18" t="s">
        <v>39</v>
      </c>
      <c r="D9" s="18" t="s">
        <v>36</v>
      </c>
      <c r="E9" s="18" t="s">
        <v>25</v>
      </c>
      <c r="F9" s="20" t="n">
        <v>27184</v>
      </c>
      <c r="G9" s="20" t="n">
        <v>4430.99</v>
      </c>
      <c r="H9" s="18" t="n">
        <v>8</v>
      </c>
    </row>
    <row r="10" customFormat="false" ht="15" hidden="false" customHeight="true" outlineLevel="0" collapsed="false">
      <c r="A10" s="18" t="s">
        <v>40</v>
      </c>
      <c r="B10" s="19" t="n">
        <v>45452</v>
      </c>
      <c r="C10" s="18" t="s">
        <v>41</v>
      </c>
      <c r="D10" s="18" t="s">
        <v>42</v>
      </c>
      <c r="E10" s="18" t="s">
        <v>21</v>
      </c>
      <c r="F10" s="20" t="n">
        <v>29580</v>
      </c>
      <c r="G10" s="20" t="n">
        <v>4259.52</v>
      </c>
      <c r="H10" s="18" t="n">
        <v>5</v>
      </c>
    </row>
    <row r="11" customFormat="false" ht="15" hidden="false" customHeight="true" outlineLevel="0" collapsed="false">
      <c r="A11" s="18" t="s">
        <v>43</v>
      </c>
      <c r="B11" s="19" t="n">
        <v>45484</v>
      </c>
      <c r="C11" s="18" t="s">
        <v>39</v>
      </c>
      <c r="D11" s="18" t="s">
        <v>44</v>
      </c>
      <c r="E11" s="18" t="s">
        <v>32</v>
      </c>
      <c r="F11" s="20" t="n">
        <v>6768</v>
      </c>
      <c r="G11" s="20" t="n">
        <v>1028.74</v>
      </c>
      <c r="H11" s="18" t="n">
        <v>3</v>
      </c>
    </row>
    <row r="12" customFormat="false" ht="15" hidden="false" customHeight="true" outlineLevel="0" collapsed="false">
      <c r="A12" s="18" t="s">
        <v>45</v>
      </c>
      <c r="B12" s="19" t="n">
        <v>45580</v>
      </c>
      <c r="C12" s="18" t="s">
        <v>39</v>
      </c>
      <c r="D12" s="18" t="s">
        <v>46</v>
      </c>
      <c r="E12" s="18" t="s">
        <v>29</v>
      </c>
      <c r="F12" s="20" t="n">
        <v>46256</v>
      </c>
      <c r="G12" s="20" t="n">
        <v>7123.42</v>
      </c>
      <c r="H12" s="18" t="n">
        <v>4</v>
      </c>
    </row>
    <row r="13" customFormat="false" ht="15" hidden="false" customHeight="true" outlineLevel="0" collapsed="false">
      <c r="A13" s="18" t="s">
        <v>47</v>
      </c>
      <c r="B13" s="19" t="n">
        <v>45540</v>
      </c>
      <c r="C13" s="18" t="s">
        <v>19</v>
      </c>
      <c r="D13" s="18" t="s">
        <v>34</v>
      </c>
      <c r="E13" s="18" t="s">
        <v>25</v>
      </c>
      <c r="F13" s="20" t="n">
        <v>394</v>
      </c>
      <c r="G13" s="20" t="n">
        <v>66.98</v>
      </c>
      <c r="H13" s="18" t="n">
        <v>1</v>
      </c>
    </row>
    <row r="14" customFormat="false" ht="15" hidden="false" customHeight="true" outlineLevel="0" collapsed="false">
      <c r="A14" s="18" t="s">
        <v>48</v>
      </c>
      <c r="B14" s="19" t="n">
        <v>45478</v>
      </c>
      <c r="C14" s="18" t="s">
        <v>19</v>
      </c>
      <c r="D14" s="18" t="s">
        <v>49</v>
      </c>
      <c r="E14" s="18" t="s">
        <v>50</v>
      </c>
      <c r="F14" s="20" t="n">
        <v>60</v>
      </c>
      <c r="G14" s="20" t="n">
        <v>15.78</v>
      </c>
      <c r="H14" s="18" t="n">
        <v>3</v>
      </c>
    </row>
    <row r="15" customFormat="false" ht="15" hidden="false" customHeight="true" outlineLevel="0" collapsed="false">
      <c r="A15" s="18" t="s">
        <v>51</v>
      </c>
      <c r="B15" s="19" t="n">
        <v>45492</v>
      </c>
      <c r="C15" s="18" t="s">
        <v>23</v>
      </c>
      <c r="D15" s="18" t="s">
        <v>52</v>
      </c>
      <c r="E15" s="18" t="s">
        <v>32</v>
      </c>
      <c r="F15" s="20" t="n">
        <v>22098</v>
      </c>
      <c r="G15" s="20" t="n">
        <v>3646.17</v>
      </c>
      <c r="H15" s="18" t="n">
        <v>6</v>
      </c>
    </row>
    <row r="16" customFormat="false" ht="15" hidden="false" customHeight="true" outlineLevel="0" collapsed="false">
      <c r="A16" s="18" t="s">
        <v>53</v>
      </c>
      <c r="B16" s="19" t="n">
        <v>45493</v>
      </c>
      <c r="C16" s="18" t="s">
        <v>23</v>
      </c>
      <c r="D16" s="18" t="s">
        <v>46</v>
      </c>
      <c r="E16" s="18" t="s">
        <v>29</v>
      </c>
      <c r="F16" s="20" t="n">
        <v>4875</v>
      </c>
      <c r="G16" s="20" t="n">
        <v>799.5</v>
      </c>
      <c r="H16" s="18" t="n">
        <v>1</v>
      </c>
    </row>
    <row r="17" customFormat="false" ht="15" hidden="false" customHeight="true" outlineLevel="0" collapsed="false">
      <c r="A17" s="18" t="s">
        <v>54</v>
      </c>
      <c r="B17" s="19" t="n">
        <v>45536</v>
      </c>
      <c r="C17" s="18" t="s">
        <v>41</v>
      </c>
      <c r="D17" s="18" t="s">
        <v>55</v>
      </c>
      <c r="E17" s="18" t="s">
        <v>32</v>
      </c>
      <c r="F17" s="20" t="n">
        <v>309589</v>
      </c>
      <c r="G17" s="20" t="n">
        <v>26934.24</v>
      </c>
      <c r="H17" s="18" t="n">
        <v>7</v>
      </c>
    </row>
    <row r="18" customFormat="false" ht="15" hidden="false" customHeight="true" outlineLevel="0" collapsed="false">
      <c r="A18" s="18" t="s">
        <v>56</v>
      </c>
      <c r="B18" s="19" t="n">
        <v>45390</v>
      </c>
      <c r="C18" s="18" t="s">
        <v>23</v>
      </c>
      <c r="D18" s="18" t="s">
        <v>28</v>
      </c>
      <c r="E18" s="18" t="s">
        <v>29</v>
      </c>
      <c r="F18" s="20" t="n">
        <v>24515</v>
      </c>
      <c r="G18" s="20" t="n">
        <v>3113.41</v>
      </c>
      <c r="H18" s="18" t="n">
        <v>5</v>
      </c>
    </row>
    <row r="19" customFormat="false" ht="15" hidden="false" customHeight="true" outlineLevel="0" collapsed="false">
      <c r="A19" s="18" t="s">
        <v>57</v>
      </c>
      <c r="B19" s="19" t="n">
        <v>45438</v>
      </c>
      <c r="C19" s="18" t="s">
        <v>23</v>
      </c>
      <c r="D19" s="18" t="s">
        <v>58</v>
      </c>
      <c r="E19" s="18" t="s">
        <v>50</v>
      </c>
      <c r="F19" s="20" t="n">
        <v>441</v>
      </c>
      <c r="G19" s="20" t="n">
        <v>122.16</v>
      </c>
      <c r="H19" s="18" t="n">
        <v>7</v>
      </c>
    </row>
    <row r="20" customFormat="false" ht="15" hidden="false" customHeight="true" outlineLevel="0" collapsed="false">
      <c r="A20" s="18" t="s">
        <v>59</v>
      </c>
      <c r="B20" s="19" t="n">
        <v>45614</v>
      </c>
      <c r="C20" s="18" t="s">
        <v>23</v>
      </c>
      <c r="D20" s="18" t="s">
        <v>20</v>
      </c>
      <c r="E20" s="18" t="s">
        <v>21</v>
      </c>
      <c r="F20" s="20" t="n">
        <v>77693</v>
      </c>
      <c r="G20" s="20" t="n">
        <v>13363.2</v>
      </c>
      <c r="H20" s="18" t="n">
        <v>7</v>
      </c>
    </row>
    <row r="21" customFormat="false" ht="15" hidden="false" customHeight="true" outlineLevel="0" collapsed="false">
      <c r="A21" s="18" t="s">
        <v>60</v>
      </c>
      <c r="B21" s="19" t="n">
        <v>45578</v>
      </c>
      <c r="C21" s="18" t="s">
        <v>23</v>
      </c>
      <c r="D21" s="18" t="s">
        <v>58</v>
      </c>
      <c r="E21" s="18" t="s">
        <v>50</v>
      </c>
      <c r="F21" s="20" t="n">
        <v>804</v>
      </c>
      <c r="G21" s="20" t="n">
        <v>205.02</v>
      </c>
      <c r="H21" s="18" t="n">
        <v>6</v>
      </c>
    </row>
    <row r="22" customFormat="false" ht="15" hidden="false" customHeight="true" outlineLevel="0" collapsed="false">
      <c r="A22" s="18" t="s">
        <v>61</v>
      </c>
      <c r="B22" s="19" t="n">
        <v>45407</v>
      </c>
      <c r="C22" s="18" t="s">
        <v>39</v>
      </c>
      <c r="D22" s="18" t="s">
        <v>62</v>
      </c>
      <c r="E22" s="18" t="s">
        <v>50</v>
      </c>
      <c r="F22" s="20" t="n">
        <v>96</v>
      </c>
      <c r="G22" s="20" t="n">
        <v>24.86</v>
      </c>
      <c r="H22" s="18" t="n">
        <v>2</v>
      </c>
    </row>
    <row r="23" customFormat="false" ht="15" hidden="false" customHeight="true" outlineLevel="0" collapsed="false">
      <c r="A23" s="18" t="s">
        <v>63</v>
      </c>
      <c r="B23" s="19" t="n">
        <v>45622</v>
      </c>
      <c r="C23" s="18" t="s">
        <v>19</v>
      </c>
      <c r="D23" s="18" t="s">
        <v>64</v>
      </c>
      <c r="E23" s="18" t="s">
        <v>32</v>
      </c>
      <c r="F23" s="20" t="n">
        <v>196560</v>
      </c>
      <c r="G23" s="20" t="n">
        <v>19459.44</v>
      </c>
      <c r="H23" s="18" t="n">
        <v>7</v>
      </c>
    </row>
    <row r="24" customFormat="false" ht="15" hidden="false" customHeight="true" outlineLevel="0" collapsed="false">
      <c r="A24" s="18" t="s">
        <v>65</v>
      </c>
      <c r="B24" s="19" t="n">
        <v>45421</v>
      </c>
      <c r="C24" s="18" t="s">
        <v>39</v>
      </c>
      <c r="D24" s="18" t="s">
        <v>52</v>
      </c>
      <c r="E24" s="18" t="s">
        <v>32</v>
      </c>
      <c r="F24" s="20" t="n">
        <v>18888</v>
      </c>
      <c r="G24" s="20" t="n">
        <v>3022.08</v>
      </c>
      <c r="H24" s="18" t="n">
        <v>3</v>
      </c>
    </row>
    <row r="25" customFormat="false" ht="15" hidden="false" customHeight="true" outlineLevel="0" collapsed="false">
      <c r="A25" s="18" t="s">
        <v>66</v>
      </c>
      <c r="B25" s="19" t="n">
        <v>45412</v>
      </c>
      <c r="C25" s="18" t="s">
        <v>19</v>
      </c>
      <c r="D25" s="18" t="s">
        <v>52</v>
      </c>
      <c r="E25" s="18" t="s">
        <v>32</v>
      </c>
      <c r="F25" s="20" t="n">
        <v>31560</v>
      </c>
      <c r="G25" s="20" t="n">
        <v>5365.2</v>
      </c>
      <c r="H25" s="18" t="n">
        <v>6</v>
      </c>
    </row>
    <row r="26" customFormat="false" ht="15" hidden="false" customHeight="true" outlineLevel="0" collapsed="false">
      <c r="A26" s="18" t="s">
        <v>67</v>
      </c>
      <c r="B26" s="19" t="n">
        <v>45636</v>
      </c>
      <c r="C26" s="18" t="s">
        <v>19</v>
      </c>
      <c r="D26" s="18" t="s">
        <v>46</v>
      </c>
      <c r="E26" s="18" t="s">
        <v>29</v>
      </c>
      <c r="F26" s="20" t="n">
        <v>67102</v>
      </c>
      <c r="G26" s="20" t="n">
        <v>7448.32</v>
      </c>
      <c r="H26" s="18" t="n">
        <v>7</v>
      </c>
    </row>
    <row r="27" customFormat="false" ht="15" hidden="false" customHeight="true" outlineLevel="0" collapsed="false">
      <c r="A27" s="18" t="s">
        <v>68</v>
      </c>
      <c r="B27" s="19" t="n">
        <v>45488</v>
      </c>
      <c r="C27" s="18" t="s">
        <v>23</v>
      </c>
      <c r="D27" s="18" t="s">
        <v>46</v>
      </c>
      <c r="E27" s="18" t="s">
        <v>29</v>
      </c>
      <c r="F27" s="20" t="n">
        <v>31180</v>
      </c>
      <c r="G27" s="20" t="n">
        <v>3336.26</v>
      </c>
      <c r="H27" s="18" t="n">
        <v>5</v>
      </c>
    </row>
    <row r="28" customFormat="false" ht="15" hidden="false" customHeight="true" outlineLevel="0" collapsed="false">
      <c r="A28" s="18" t="s">
        <v>69</v>
      </c>
      <c r="B28" s="19" t="n">
        <v>45462</v>
      </c>
      <c r="C28" s="18" t="s">
        <v>39</v>
      </c>
      <c r="D28" s="18" t="s">
        <v>70</v>
      </c>
      <c r="E28" s="18" t="s">
        <v>21</v>
      </c>
      <c r="F28" s="20" t="n">
        <v>10154</v>
      </c>
      <c r="G28" s="20" t="n">
        <v>1817.57</v>
      </c>
      <c r="H28" s="18" t="n">
        <v>1</v>
      </c>
    </row>
    <row r="29" customFormat="false" ht="15" hidden="false" customHeight="true" outlineLevel="0" collapsed="false">
      <c r="A29" s="18" t="s">
        <v>71</v>
      </c>
      <c r="B29" s="19" t="n">
        <v>45435</v>
      </c>
      <c r="C29" s="18" t="s">
        <v>23</v>
      </c>
      <c r="D29" s="18" t="s">
        <v>72</v>
      </c>
      <c r="E29" s="18" t="s">
        <v>29</v>
      </c>
      <c r="F29" s="20" t="n">
        <v>30906</v>
      </c>
      <c r="G29" s="20" t="n">
        <v>6119.39</v>
      </c>
      <c r="H29" s="18" t="n">
        <v>3</v>
      </c>
    </row>
    <row r="30" customFormat="false" ht="15" hidden="false" customHeight="true" outlineLevel="0" collapsed="false">
      <c r="A30" s="18" t="s">
        <v>73</v>
      </c>
      <c r="B30" s="19" t="n">
        <v>45424</v>
      </c>
      <c r="C30" s="18" t="s">
        <v>23</v>
      </c>
      <c r="D30" s="18" t="s">
        <v>36</v>
      </c>
      <c r="E30" s="18" t="s">
        <v>25</v>
      </c>
      <c r="F30" s="20" t="n">
        <v>12747</v>
      </c>
      <c r="G30" s="20" t="n">
        <v>3581.91</v>
      </c>
      <c r="H30" s="18" t="n">
        <v>3</v>
      </c>
    </row>
    <row r="31" customFormat="false" ht="15" hidden="false" customHeight="true" outlineLevel="0" collapsed="false">
      <c r="A31" s="18" t="s">
        <v>74</v>
      </c>
      <c r="B31" s="19" t="n">
        <v>45551</v>
      </c>
      <c r="C31" s="18" t="s">
        <v>41</v>
      </c>
      <c r="D31" s="18" t="s">
        <v>75</v>
      </c>
      <c r="E31" s="18" t="s">
        <v>29</v>
      </c>
      <c r="F31" s="20" t="n">
        <v>14395</v>
      </c>
      <c r="G31" s="20" t="n">
        <v>2317.6</v>
      </c>
      <c r="H31" s="18" t="n">
        <v>5</v>
      </c>
    </row>
    <row r="32" customFormat="false" ht="15" hidden="false" customHeight="true" outlineLevel="0" collapsed="false">
      <c r="A32" s="18" t="s">
        <v>76</v>
      </c>
      <c r="B32" s="19" t="n">
        <v>45447</v>
      </c>
      <c r="C32" s="18" t="s">
        <v>23</v>
      </c>
      <c r="D32" s="18" t="s">
        <v>72</v>
      </c>
      <c r="E32" s="18" t="s">
        <v>29</v>
      </c>
      <c r="F32" s="20" t="n">
        <v>26468</v>
      </c>
      <c r="G32" s="20" t="n">
        <v>4340.75</v>
      </c>
      <c r="H32" s="18" t="n">
        <v>2</v>
      </c>
    </row>
    <row r="33" customFormat="false" ht="15" hidden="false" customHeight="true" outlineLevel="0" collapsed="false">
      <c r="A33" s="18" t="s">
        <v>77</v>
      </c>
      <c r="B33" s="19" t="n">
        <v>45631</v>
      </c>
      <c r="C33" s="18" t="s">
        <v>23</v>
      </c>
      <c r="D33" s="18" t="s">
        <v>58</v>
      </c>
      <c r="E33" s="18" t="s">
        <v>50</v>
      </c>
      <c r="F33" s="20" t="n">
        <v>800</v>
      </c>
      <c r="G33" s="20" t="n">
        <v>244.8</v>
      </c>
      <c r="H33" s="18" t="n">
        <v>8</v>
      </c>
    </row>
    <row r="34" customFormat="false" ht="15" hidden="false" customHeight="true" outlineLevel="0" collapsed="false">
      <c r="A34" s="18" t="s">
        <v>78</v>
      </c>
      <c r="B34" s="19" t="n">
        <v>45436</v>
      </c>
      <c r="C34" s="18" t="s">
        <v>19</v>
      </c>
      <c r="D34" s="18" t="s">
        <v>46</v>
      </c>
      <c r="E34" s="18" t="s">
        <v>29</v>
      </c>
      <c r="F34" s="20" t="n">
        <v>115220</v>
      </c>
      <c r="G34" s="20" t="n">
        <v>21546.14</v>
      </c>
      <c r="H34" s="18" t="n">
        <v>10</v>
      </c>
    </row>
    <row r="35" customFormat="false" ht="15" hidden="false" customHeight="true" outlineLevel="0" collapsed="false">
      <c r="A35" s="18" t="s">
        <v>79</v>
      </c>
      <c r="B35" s="19" t="n">
        <v>45363</v>
      </c>
      <c r="C35" s="18" t="s">
        <v>27</v>
      </c>
      <c r="D35" s="18" t="s">
        <v>44</v>
      </c>
      <c r="E35" s="18" t="s">
        <v>32</v>
      </c>
      <c r="F35" s="20" t="n">
        <v>23445</v>
      </c>
      <c r="G35" s="20" t="n">
        <v>2461.72</v>
      </c>
      <c r="H35" s="18" t="n">
        <v>5</v>
      </c>
    </row>
    <row r="36" customFormat="false" ht="15" hidden="false" customHeight="true" outlineLevel="0" collapsed="false">
      <c r="A36" s="18" t="s">
        <v>80</v>
      </c>
      <c r="B36" s="19" t="n">
        <v>45521</v>
      </c>
      <c r="C36" s="18" t="s">
        <v>39</v>
      </c>
      <c r="D36" s="18" t="s">
        <v>72</v>
      </c>
      <c r="E36" s="18" t="s">
        <v>29</v>
      </c>
      <c r="F36" s="20" t="n">
        <v>40280</v>
      </c>
      <c r="G36" s="20" t="n">
        <v>7935.16</v>
      </c>
      <c r="H36" s="18" t="n">
        <v>4</v>
      </c>
    </row>
    <row r="37" customFormat="false" ht="15" hidden="false" customHeight="true" outlineLevel="0" collapsed="false">
      <c r="A37" s="18" t="s">
        <v>81</v>
      </c>
      <c r="B37" s="19" t="n">
        <v>45408</v>
      </c>
      <c r="C37" s="18" t="s">
        <v>19</v>
      </c>
      <c r="D37" s="18" t="s">
        <v>49</v>
      </c>
      <c r="E37" s="18" t="s">
        <v>50</v>
      </c>
      <c r="F37" s="20" t="n">
        <v>539</v>
      </c>
      <c r="G37" s="20" t="n">
        <v>175.71</v>
      </c>
      <c r="H37" s="18" t="n">
        <v>7</v>
      </c>
    </row>
    <row r="38" customFormat="false" ht="15" hidden="false" customHeight="true" outlineLevel="0" collapsed="false">
      <c r="A38" s="18" t="s">
        <v>82</v>
      </c>
      <c r="B38" s="19" t="n">
        <v>45453</v>
      </c>
      <c r="C38" s="18" t="s">
        <v>27</v>
      </c>
      <c r="D38" s="18" t="s">
        <v>83</v>
      </c>
      <c r="E38" s="18" t="s">
        <v>21</v>
      </c>
      <c r="F38" s="20" t="n">
        <v>11912</v>
      </c>
      <c r="G38" s="20" t="n">
        <v>2846.97</v>
      </c>
      <c r="H38" s="18" t="n">
        <v>2</v>
      </c>
    </row>
    <row r="39" customFormat="false" ht="15" hidden="false" customHeight="true" outlineLevel="0" collapsed="false">
      <c r="A39" s="18" t="s">
        <v>84</v>
      </c>
      <c r="B39" s="19" t="n">
        <v>45371</v>
      </c>
      <c r="C39" s="18" t="s">
        <v>27</v>
      </c>
      <c r="D39" s="18" t="s">
        <v>75</v>
      </c>
      <c r="E39" s="18" t="s">
        <v>29</v>
      </c>
      <c r="F39" s="20" t="n">
        <v>5608</v>
      </c>
      <c r="G39" s="20" t="n">
        <v>908.5</v>
      </c>
      <c r="H39" s="18" t="n">
        <v>2</v>
      </c>
    </row>
    <row r="40" customFormat="false" ht="15" hidden="false" customHeight="true" outlineLevel="0" collapsed="false">
      <c r="A40" s="18" t="s">
        <v>85</v>
      </c>
      <c r="B40" s="19" t="n">
        <v>45371</v>
      </c>
      <c r="C40" s="18" t="s">
        <v>19</v>
      </c>
      <c r="D40" s="18" t="s">
        <v>86</v>
      </c>
      <c r="E40" s="18" t="s">
        <v>21</v>
      </c>
      <c r="F40" s="20" t="n">
        <v>288030</v>
      </c>
      <c r="G40" s="20" t="n">
        <v>61350.39</v>
      </c>
      <c r="H40" s="18" t="n">
        <v>10</v>
      </c>
    </row>
    <row r="41" customFormat="false" ht="15" hidden="false" customHeight="true" outlineLevel="0" collapsed="false">
      <c r="A41" s="18" t="s">
        <v>87</v>
      </c>
      <c r="B41" s="19" t="n">
        <v>45387</v>
      </c>
      <c r="C41" s="18" t="s">
        <v>27</v>
      </c>
      <c r="D41" s="18" t="s">
        <v>88</v>
      </c>
      <c r="E41" s="18" t="s">
        <v>50</v>
      </c>
      <c r="F41" s="20" t="n">
        <v>364</v>
      </c>
      <c r="G41" s="20" t="n">
        <v>137.23</v>
      </c>
      <c r="H41" s="18" t="n">
        <v>1</v>
      </c>
    </row>
    <row r="42" customFormat="false" ht="15" hidden="false" customHeight="true" outlineLevel="0" collapsed="false">
      <c r="A42" s="18" t="s">
        <v>89</v>
      </c>
      <c r="B42" s="19" t="n">
        <v>45522</v>
      </c>
      <c r="C42" s="18" t="s">
        <v>27</v>
      </c>
      <c r="D42" s="18" t="s">
        <v>42</v>
      </c>
      <c r="E42" s="18" t="s">
        <v>21</v>
      </c>
      <c r="F42" s="20" t="n">
        <v>78360</v>
      </c>
      <c r="G42" s="20" t="n">
        <v>18963.12</v>
      </c>
      <c r="H42" s="18" t="n">
        <v>6</v>
      </c>
    </row>
    <row r="43" customFormat="false" ht="15" hidden="false" customHeight="true" outlineLevel="0" collapsed="false">
      <c r="A43" s="18" t="s">
        <v>90</v>
      </c>
      <c r="B43" s="19" t="n">
        <v>45484</v>
      </c>
      <c r="C43" s="18" t="s">
        <v>39</v>
      </c>
      <c r="D43" s="18" t="s">
        <v>91</v>
      </c>
      <c r="E43" s="18" t="s">
        <v>25</v>
      </c>
      <c r="F43" s="20" t="n">
        <v>6880</v>
      </c>
      <c r="G43" s="20" t="n">
        <v>2325.44</v>
      </c>
      <c r="H43" s="18" t="n">
        <v>2</v>
      </c>
    </row>
    <row r="44" customFormat="false" ht="15" hidden="false" customHeight="true" outlineLevel="0" collapsed="false">
      <c r="A44" s="18" t="s">
        <v>92</v>
      </c>
      <c r="B44" s="19" t="n">
        <v>45452</v>
      </c>
      <c r="C44" s="18" t="s">
        <v>27</v>
      </c>
      <c r="D44" s="18" t="s">
        <v>93</v>
      </c>
      <c r="E44" s="18" t="s">
        <v>32</v>
      </c>
      <c r="F44" s="20" t="n">
        <v>89691</v>
      </c>
      <c r="G44" s="20" t="n">
        <v>8969.1</v>
      </c>
      <c r="H44" s="18" t="n">
        <v>7</v>
      </c>
    </row>
    <row r="45" customFormat="false" ht="15" hidden="false" customHeight="true" outlineLevel="0" collapsed="false">
      <c r="A45" s="18" t="s">
        <v>94</v>
      </c>
      <c r="B45" s="19" t="n">
        <v>45326</v>
      </c>
      <c r="C45" s="18" t="s">
        <v>19</v>
      </c>
      <c r="D45" s="18" t="s">
        <v>52</v>
      </c>
      <c r="E45" s="18" t="s">
        <v>32</v>
      </c>
      <c r="F45" s="20" t="n">
        <v>26976</v>
      </c>
      <c r="G45" s="20" t="n">
        <v>3722.69</v>
      </c>
      <c r="H45" s="18" t="n">
        <v>4</v>
      </c>
    </row>
    <row r="46" customFormat="false" ht="15" hidden="false" customHeight="true" outlineLevel="0" collapsed="false">
      <c r="A46" s="18" t="s">
        <v>95</v>
      </c>
      <c r="B46" s="19" t="n">
        <v>45550</v>
      </c>
      <c r="C46" s="18" t="s">
        <v>27</v>
      </c>
      <c r="D46" s="18" t="s">
        <v>96</v>
      </c>
      <c r="E46" s="18" t="s">
        <v>50</v>
      </c>
      <c r="F46" s="20" t="n">
        <v>102</v>
      </c>
      <c r="G46" s="20" t="n">
        <v>35.7</v>
      </c>
      <c r="H46" s="18" t="n">
        <v>3</v>
      </c>
    </row>
    <row r="47" customFormat="false" ht="15" hidden="false" customHeight="true" outlineLevel="0" collapsed="false">
      <c r="A47" s="18" t="s">
        <v>97</v>
      </c>
      <c r="B47" s="19" t="n">
        <v>45636</v>
      </c>
      <c r="C47" s="18" t="s">
        <v>41</v>
      </c>
      <c r="D47" s="18" t="s">
        <v>44</v>
      </c>
      <c r="E47" s="18" t="s">
        <v>32</v>
      </c>
      <c r="F47" s="20" t="n">
        <v>20500</v>
      </c>
      <c r="G47" s="20" t="n">
        <v>3649</v>
      </c>
      <c r="H47" s="18" t="n">
        <v>4</v>
      </c>
    </row>
    <row r="48" customFormat="false" ht="15" hidden="false" customHeight="true" outlineLevel="0" collapsed="false">
      <c r="A48" s="18" t="s">
        <v>98</v>
      </c>
      <c r="B48" s="19" t="n">
        <v>45453</v>
      </c>
      <c r="C48" s="18" t="s">
        <v>41</v>
      </c>
      <c r="D48" s="18" t="s">
        <v>20</v>
      </c>
      <c r="E48" s="18" t="s">
        <v>21</v>
      </c>
      <c r="F48" s="20" t="n">
        <v>53620</v>
      </c>
      <c r="G48" s="20" t="n">
        <v>11689.16</v>
      </c>
      <c r="H48" s="18" t="n">
        <v>10</v>
      </c>
    </row>
    <row r="49" customFormat="false" ht="15" hidden="false" customHeight="true" outlineLevel="0" collapsed="false">
      <c r="A49" s="18" t="s">
        <v>99</v>
      </c>
      <c r="B49" s="19" t="n">
        <v>45534</v>
      </c>
      <c r="C49" s="18" t="s">
        <v>39</v>
      </c>
      <c r="D49" s="18" t="s">
        <v>20</v>
      </c>
      <c r="E49" s="18" t="s">
        <v>21</v>
      </c>
      <c r="F49" s="20" t="n">
        <v>7933</v>
      </c>
      <c r="G49" s="20" t="n">
        <v>1388.27</v>
      </c>
      <c r="H49" s="18" t="n">
        <v>1</v>
      </c>
    </row>
    <row r="50" customFormat="false" ht="15" hidden="false" customHeight="true" outlineLevel="0" collapsed="false">
      <c r="A50" s="18" t="s">
        <v>100</v>
      </c>
      <c r="B50" s="19" t="n">
        <v>45473</v>
      </c>
      <c r="C50" s="18" t="s">
        <v>39</v>
      </c>
      <c r="D50" s="18" t="s">
        <v>46</v>
      </c>
      <c r="E50" s="18" t="s">
        <v>29</v>
      </c>
      <c r="F50" s="20" t="n">
        <v>32470</v>
      </c>
      <c r="G50" s="20" t="n">
        <v>6331.65</v>
      </c>
      <c r="H50" s="18" t="n">
        <v>5</v>
      </c>
    </row>
    <row r="51" customFormat="false" ht="15" hidden="false" customHeight="true" outlineLevel="0" collapsed="false">
      <c r="A51" s="18" t="s">
        <v>101</v>
      </c>
      <c r="B51" s="19" t="n">
        <v>45529</v>
      </c>
      <c r="C51" s="18" t="s">
        <v>27</v>
      </c>
      <c r="D51" s="18" t="s">
        <v>75</v>
      </c>
      <c r="E51" s="18" t="s">
        <v>29</v>
      </c>
      <c r="F51" s="20" t="n">
        <v>4056</v>
      </c>
      <c r="G51" s="20" t="n">
        <v>429.94</v>
      </c>
      <c r="H51" s="18" t="n">
        <v>3</v>
      </c>
    </row>
    <row r="52" customFormat="false" ht="15" hidden="false" customHeight="true" outlineLevel="0" collapsed="false">
      <c r="A52" s="18" t="s">
        <v>102</v>
      </c>
      <c r="B52" s="19" t="n">
        <v>45461</v>
      </c>
      <c r="C52" s="18" t="s">
        <v>19</v>
      </c>
      <c r="D52" s="18" t="s">
        <v>83</v>
      </c>
      <c r="E52" s="18" t="s">
        <v>21</v>
      </c>
      <c r="F52" s="20" t="n">
        <v>73170</v>
      </c>
      <c r="G52" s="20" t="n">
        <v>13170.6</v>
      </c>
      <c r="H52" s="18" t="n">
        <v>10</v>
      </c>
    </row>
    <row r="53" customFormat="false" ht="15" hidden="false" customHeight="true" outlineLevel="0" collapsed="false">
      <c r="A53" s="18" t="s">
        <v>103</v>
      </c>
      <c r="B53" s="19" t="n">
        <v>45555</v>
      </c>
      <c r="C53" s="18" t="s">
        <v>39</v>
      </c>
      <c r="D53" s="18" t="s">
        <v>55</v>
      </c>
      <c r="E53" s="18" t="s">
        <v>32</v>
      </c>
      <c r="F53" s="20" t="n">
        <v>192180</v>
      </c>
      <c r="G53" s="20" t="n">
        <v>18064.92</v>
      </c>
      <c r="H53" s="18" t="n">
        <v>5</v>
      </c>
    </row>
    <row r="54" customFormat="false" ht="15" hidden="false" customHeight="true" outlineLevel="0" collapsed="false">
      <c r="A54" s="18" t="s">
        <v>104</v>
      </c>
      <c r="B54" s="19" t="n">
        <v>45458</v>
      </c>
      <c r="C54" s="18" t="s">
        <v>27</v>
      </c>
      <c r="D54" s="18" t="s">
        <v>83</v>
      </c>
      <c r="E54" s="18" t="s">
        <v>21</v>
      </c>
      <c r="F54" s="20" t="n">
        <v>59360</v>
      </c>
      <c r="G54" s="20" t="n">
        <v>8013.6</v>
      </c>
      <c r="H54" s="18" t="n">
        <v>7</v>
      </c>
    </row>
    <row r="55" customFormat="false" ht="15" hidden="false" customHeight="true" outlineLevel="0" collapsed="false">
      <c r="A55" s="18" t="s">
        <v>105</v>
      </c>
      <c r="B55" s="19" t="n">
        <v>45647</v>
      </c>
      <c r="C55" s="18" t="s">
        <v>19</v>
      </c>
      <c r="D55" s="18" t="s">
        <v>106</v>
      </c>
      <c r="E55" s="18" t="s">
        <v>25</v>
      </c>
      <c r="F55" s="20" t="n">
        <v>4484</v>
      </c>
      <c r="G55" s="20" t="n">
        <v>1174.81</v>
      </c>
      <c r="H55" s="18" t="n">
        <v>2</v>
      </c>
    </row>
    <row r="56" customFormat="false" ht="15" hidden="false" customHeight="true" outlineLevel="0" collapsed="false">
      <c r="A56" s="18" t="s">
        <v>107</v>
      </c>
      <c r="B56" s="19" t="n">
        <v>45313</v>
      </c>
      <c r="C56" s="18" t="s">
        <v>27</v>
      </c>
      <c r="D56" s="18" t="s">
        <v>72</v>
      </c>
      <c r="E56" s="18" t="s">
        <v>29</v>
      </c>
      <c r="F56" s="20" t="n">
        <v>47860</v>
      </c>
      <c r="G56" s="20" t="n">
        <v>5264.6</v>
      </c>
      <c r="H56" s="18" t="n">
        <v>4</v>
      </c>
    </row>
    <row r="57" customFormat="false" ht="15" hidden="false" customHeight="true" outlineLevel="0" collapsed="false">
      <c r="A57" s="18" t="s">
        <v>108</v>
      </c>
      <c r="B57" s="19" t="n">
        <v>45548</v>
      </c>
      <c r="C57" s="18" t="s">
        <v>23</v>
      </c>
      <c r="D57" s="18" t="s">
        <v>96</v>
      </c>
      <c r="E57" s="18" t="s">
        <v>50</v>
      </c>
      <c r="F57" s="20" t="n">
        <v>115</v>
      </c>
      <c r="G57" s="20" t="n">
        <v>26.22</v>
      </c>
      <c r="H57" s="18" t="n">
        <v>1</v>
      </c>
    </row>
    <row r="58" customFormat="false" ht="15" hidden="false" customHeight="true" outlineLevel="0" collapsed="false">
      <c r="A58" s="18" t="s">
        <v>109</v>
      </c>
      <c r="B58" s="19" t="n">
        <v>45380</v>
      </c>
      <c r="C58" s="18" t="s">
        <v>27</v>
      </c>
      <c r="D58" s="18" t="s">
        <v>72</v>
      </c>
      <c r="E58" s="18" t="s">
        <v>29</v>
      </c>
      <c r="F58" s="20" t="n">
        <v>83700</v>
      </c>
      <c r="G58" s="20"/>
      <c r="H58" s="18" t="n">
        <v>6</v>
      </c>
    </row>
    <row r="59" customFormat="false" ht="15" hidden="false" customHeight="true" outlineLevel="0" collapsed="false">
      <c r="A59" s="18" t="s">
        <v>110</v>
      </c>
      <c r="B59" s="19" t="n">
        <v>45344</v>
      </c>
      <c r="C59" s="18" t="s">
        <v>23</v>
      </c>
      <c r="D59" s="18" t="s">
        <v>55</v>
      </c>
      <c r="E59" s="18" t="s">
        <v>32</v>
      </c>
      <c r="F59" s="20" t="n">
        <v>396510</v>
      </c>
      <c r="G59" s="20" t="n">
        <v>32910.33</v>
      </c>
      <c r="H59" s="18" t="n">
        <v>10</v>
      </c>
    </row>
    <row r="60" customFormat="false" ht="15" hidden="false" customHeight="true" outlineLevel="0" collapsed="false">
      <c r="A60" s="18" t="s">
        <v>111</v>
      </c>
      <c r="B60" s="19" t="n">
        <v>45619</v>
      </c>
      <c r="C60" s="18" t="s">
        <v>41</v>
      </c>
      <c r="D60" s="18" t="s">
        <v>96</v>
      </c>
      <c r="E60" s="18" t="s">
        <v>50</v>
      </c>
      <c r="F60" s="20" t="n">
        <v>558</v>
      </c>
      <c r="G60" s="20" t="n">
        <v>183.02</v>
      </c>
      <c r="H60" s="18" t="n">
        <v>9</v>
      </c>
    </row>
    <row r="61" customFormat="false" ht="15" hidden="false" customHeight="true" outlineLevel="0" collapsed="false">
      <c r="A61" s="18" t="s">
        <v>112</v>
      </c>
      <c r="B61" s="19" t="n">
        <v>45414</v>
      </c>
      <c r="C61" s="18" t="s">
        <v>27</v>
      </c>
      <c r="D61" s="18" t="s">
        <v>88</v>
      </c>
      <c r="E61" s="18" t="s">
        <v>50</v>
      </c>
      <c r="F61" s="20" t="n">
        <v>346</v>
      </c>
      <c r="G61" s="20" t="n">
        <v>103.8</v>
      </c>
      <c r="H61" s="18" t="n">
        <v>2</v>
      </c>
    </row>
    <row r="62" customFormat="false" ht="15" hidden="false" customHeight="true" outlineLevel="0" collapsed="false">
      <c r="A62" s="18" t="s">
        <v>113</v>
      </c>
      <c r="B62" s="19" t="n">
        <v>45624</v>
      </c>
      <c r="C62" s="18" t="s">
        <v>41</v>
      </c>
      <c r="D62" s="18" t="s">
        <v>55</v>
      </c>
      <c r="E62" s="18" t="s">
        <v>32</v>
      </c>
      <c r="F62" s="20" t="n">
        <v>257985</v>
      </c>
      <c r="G62" s="20" t="n">
        <v>30442.23</v>
      </c>
      <c r="H62" s="18" t="n">
        <v>7</v>
      </c>
    </row>
    <row r="63" customFormat="false" ht="15" hidden="false" customHeight="true" outlineLevel="0" collapsed="false">
      <c r="A63" s="18" t="s">
        <v>114</v>
      </c>
      <c r="B63" s="19" t="n">
        <v>45396</v>
      </c>
      <c r="C63" s="18" t="s">
        <v>23</v>
      </c>
      <c r="D63" s="18" t="s">
        <v>64</v>
      </c>
      <c r="E63" s="18" t="s">
        <v>32</v>
      </c>
      <c r="F63" s="20" t="n">
        <v>237966</v>
      </c>
      <c r="G63" s="20"/>
      <c r="H63" s="18" t="n">
        <v>6</v>
      </c>
    </row>
    <row r="64" customFormat="false" ht="15" hidden="false" customHeight="true" outlineLevel="0" collapsed="false">
      <c r="A64" s="18" t="s">
        <v>115</v>
      </c>
      <c r="B64" s="19" t="n">
        <v>45317</v>
      </c>
      <c r="C64" s="18" t="s">
        <v>19</v>
      </c>
      <c r="D64" s="18" t="s">
        <v>83</v>
      </c>
      <c r="E64" s="18" t="s">
        <v>21</v>
      </c>
      <c r="F64" s="20" t="n">
        <v>9027</v>
      </c>
      <c r="G64" s="20" t="n">
        <v>2202.59</v>
      </c>
      <c r="H64" s="18" t="n">
        <v>3</v>
      </c>
    </row>
    <row r="65" customFormat="false" ht="15" hidden="false" customHeight="true" outlineLevel="0" collapsed="false">
      <c r="A65" s="18" t="s">
        <v>116</v>
      </c>
      <c r="B65" s="19" t="n">
        <v>45546</v>
      </c>
      <c r="C65" s="18" t="s">
        <v>41</v>
      </c>
      <c r="D65" s="18" t="s">
        <v>52</v>
      </c>
      <c r="E65" s="18" t="s">
        <v>32</v>
      </c>
      <c r="F65" s="20" t="n">
        <v>29239</v>
      </c>
      <c r="G65" s="20" t="n">
        <v>2456.08</v>
      </c>
      <c r="H65" s="18" t="n">
        <v>7</v>
      </c>
    </row>
    <row r="66" customFormat="false" ht="15" hidden="false" customHeight="true" outlineLevel="0" collapsed="false">
      <c r="A66" s="18" t="s">
        <v>117</v>
      </c>
      <c r="B66" s="19" t="n">
        <v>45439</v>
      </c>
      <c r="C66" s="18" t="s">
        <v>27</v>
      </c>
      <c r="D66" s="18" t="s">
        <v>106</v>
      </c>
      <c r="E66" s="18" t="s">
        <v>25</v>
      </c>
      <c r="F66" s="20" t="n">
        <v>10376</v>
      </c>
      <c r="G66" s="20" t="n">
        <v>1618.66</v>
      </c>
      <c r="H66" s="18" t="n">
        <v>8</v>
      </c>
    </row>
    <row r="67" customFormat="false" ht="15" hidden="false" customHeight="true" outlineLevel="0" collapsed="false">
      <c r="A67" s="18" t="s">
        <v>118</v>
      </c>
      <c r="B67" s="19" t="n">
        <v>45441</v>
      </c>
      <c r="C67" s="18" t="s">
        <v>23</v>
      </c>
      <c r="D67" s="18" t="s">
        <v>28</v>
      </c>
      <c r="E67" s="18" t="s">
        <v>29</v>
      </c>
      <c r="F67" s="20" t="n">
        <v>17220</v>
      </c>
      <c r="G67" s="20" t="n">
        <v>1808.1</v>
      </c>
      <c r="H67" s="18" t="n">
        <v>6</v>
      </c>
    </row>
    <row r="68" customFormat="false" ht="15" hidden="false" customHeight="true" outlineLevel="0" collapsed="false">
      <c r="A68" s="18" t="s">
        <v>119</v>
      </c>
      <c r="B68" s="19" t="n">
        <v>45540</v>
      </c>
      <c r="C68" s="18" t="s">
        <v>23</v>
      </c>
      <c r="D68" s="18" t="s">
        <v>120</v>
      </c>
      <c r="E68" s="18" t="s">
        <v>29</v>
      </c>
      <c r="F68" s="20" t="n">
        <v>52904</v>
      </c>
      <c r="G68" s="20" t="n">
        <v>6189.77</v>
      </c>
      <c r="H68" s="18" t="n">
        <v>8</v>
      </c>
    </row>
    <row r="69" customFormat="false" ht="15" hidden="false" customHeight="true" outlineLevel="0" collapsed="false">
      <c r="A69" s="18" t="s">
        <v>121</v>
      </c>
      <c r="B69" s="19" t="n">
        <v>45533</v>
      </c>
      <c r="C69" s="18" t="s">
        <v>39</v>
      </c>
      <c r="D69" s="18" t="s">
        <v>62</v>
      </c>
      <c r="E69" s="18" t="s">
        <v>50</v>
      </c>
      <c r="F69" s="20" t="n">
        <v>693</v>
      </c>
      <c r="G69" s="20" t="n">
        <v>191.96</v>
      </c>
      <c r="H69" s="18" t="n">
        <v>9</v>
      </c>
    </row>
    <row r="70" customFormat="false" ht="15" hidden="false" customHeight="true" outlineLevel="0" collapsed="false">
      <c r="A70" s="18" t="s">
        <v>122</v>
      </c>
      <c r="B70" s="19" t="n">
        <v>45426</v>
      </c>
      <c r="C70" s="18" t="s">
        <v>27</v>
      </c>
      <c r="D70" s="18" t="s">
        <v>28</v>
      </c>
      <c r="E70" s="18" t="s">
        <v>29</v>
      </c>
      <c r="F70" s="20" t="n">
        <v>41340</v>
      </c>
      <c r="G70" s="20" t="n">
        <v>5746.26</v>
      </c>
      <c r="H70" s="18" t="n">
        <v>6</v>
      </c>
    </row>
    <row r="71" customFormat="false" ht="15" hidden="false" customHeight="true" outlineLevel="0" collapsed="false">
      <c r="A71" s="18" t="s">
        <v>123</v>
      </c>
      <c r="B71" s="19" t="n">
        <v>45610</v>
      </c>
      <c r="C71" s="18" t="s">
        <v>19</v>
      </c>
      <c r="D71" s="18" t="s">
        <v>91</v>
      </c>
      <c r="E71" s="18" t="s">
        <v>25</v>
      </c>
      <c r="F71" s="20" t="n">
        <v>5452</v>
      </c>
      <c r="G71" s="20" t="n">
        <v>1706.48</v>
      </c>
      <c r="H71" s="18" t="n">
        <v>2</v>
      </c>
    </row>
    <row r="72" customFormat="false" ht="15" hidden="false" customHeight="true" outlineLevel="0" collapsed="false">
      <c r="A72" s="18" t="s">
        <v>124</v>
      </c>
      <c r="B72" s="19" t="n">
        <v>45513</v>
      </c>
      <c r="C72" s="18" t="s">
        <v>19</v>
      </c>
      <c r="D72" s="18" t="s">
        <v>31</v>
      </c>
      <c r="E72" s="18" t="s">
        <v>32</v>
      </c>
      <c r="F72" s="20" t="n">
        <v>553875</v>
      </c>
      <c r="G72" s="20" t="n">
        <v>50956.5</v>
      </c>
      <c r="H72" s="18" t="n">
        <v>7</v>
      </c>
    </row>
    <row r="73" customFormat="false" ht="15" hidden="false" customHeight="true" outlineLevel="0" collapsed="false">
      <c r="A73" s="18" t="s">
        <v>125</v>
      </c>
      <c r="B73" s="19" t="n">
        <v>45497</v>
      </c>
      <c r="C73" s="18" t="s">
        <v>23</v>
      </c>
      <c r="D73" s="18" t="s">
        <v>55</v>
      </c>
      <c r="E73" s="18" t="s">
        <v>32</v>
      </c>
      <c r="F73" s="20" t="n">
        <v>226338</v>
      </c>
      <c r="G73" s="20" t="n">
        <v>35082.39</v>
      </c>
      <c r="H73" s="18" t="n">
        <v>7</v>
      </c>
    </row>
    <row r="74" customFormat="false" ht="15" hidden="false" customHeight="true" outlineLevel="0" collapsed="false">
      <c r="A74" s="18" t="s">
        <v>126</v>
      </c>
      <c r="B74" s="19" t="n">
        <v>45370</v>
      </c>
      <c r="C74" s="18" t="s">
        <v>39</v>
      </c>
      <c r="D74" s="18" t="s">
        <v>55</v>
      </c>
      <c r="E74" s="18" t="s">
        <v>32</v>
      </c>
      <c r="F74" s="20" t="n">
        <v>270984</v>
      </c>
      <c r="G74" s="20" t="n">
        <v>30621.19</v>
      </c>
      <c r="H74" s="18" t="n">
        <v>7</v>
      </c>
    </row>
    <row r="75" customFormat="false" ht="15" hidden="false" customHeight="true" outlineLevel="0" collapsed="false">
      <c r="A75" s="18" t="s">
        <v>127</v>
      </c>
      <c r="B75" s="19" t="n">
        <v>45486</v>
      </c>
      <c r="C75" s="18" t="s">
        <v>39</v>
      </c>
      <c r="D75" s="18" t="s">
        <v>120</v>
      </c>
      <c r="E75" s="18" t="s">
        <v>29</v>
      </c>
      <c r="F75" s="20" t="n">
        <v>109300</v>
      </c>
      <c r="G75" s="20" t="n">
        <v>15411.3</v>
      </c>
      <c r="H75" s="18" t="n">
        <v>10</v>
      </c>
    </row>
    <row r="76" customFormat="false" ht="15" hidden="false" customHeight="true" outlineLevel="0" collapsed="false">
      <c r="A76" s="18" t="s">
        <v>128</v>
      </c>
      <c r="B76" s="19" t="n">
        <v>45614</v>
      </c>
      <c r="C76" s="18" t="s">
        <v>39</v>
      </c>
      <c r="D76" s="18" t="s">
        <v>55</v>
      </c>
      <c r="E76" s="18" t="s">
        <v>32</v>
      </c>
      <c r="F76" s="20" t="n">
        <v>37797</v>
      </c>
      <c r="G76" s="20" t="n">
        <v>3855.29</v>
      </c>
      <c r="H76" s="18" t="n">
        <v>3</v>
      </c>
    </row>
    <row r="77" customFormat="false" ht="15" hidden="false" customHeight="true" outlineLevel="0" collapsed="false">
      <c r="A77" s="18" t="s">
        <v>129</v>
      </c>
      <c r="B77" s="19" t="n">
        <v>45457</v>
      </c>
      <c r="C77" s="18" t="s">
        <v>41</v>
      </c>
      <c r="D77" s="18" t="s">
        <v>31</v>
      </c>
      <c r="E77" s="18" t="s">
        <v>32</v>
      </c>
      <c r="F77" s="20" t="n">
        <v>220332</v>
      </c>
      <c r="G77" s="20" t="n">
        <v>33049.8</v>
      </c>
      <c r="H77" s="18" t="n">
        <v>3</v>
      </c>
    </row>
    <row r="78" customFormat="false" ht="15" hidden="false" customHeight="true" outlineLevel="0" collapsed="false">
      <c r="A78" s="18" t="s">
        <v>130</v>
      </c>
      <c r="B78" s="19" t="n">
        <v>45631</v>
      </c>
      <c r="C78" s="18" t="s">
        <v>19</v>
      </c>
      <c r="D78" s="18" t="s">
        <v>70</v>
      </c>
      <c r="E78" s="18" t="s">
        <v>21</v>
      </c>
      <c r="F78" s="20" t="n">
        <v>117714</v>
      </c>
      <c r="G78" s="20" t="n">
        <v>17421.67</v>
      </c>
      <c r="H78" s="18" t="n">
        <v>6</v>
      </c>
    </row>
    <row r="79" customFormat="false" ht="15" hidden="false" customHeight="true" outlineLevel="0" collapsed="false">
      <c r="A79" s="18" t="s">
        <v>131</v>
      </c>
      <c r="B79" s="19" t="n">
        <v>45639</v>
      </c>
      <c r="C79" s="18" t="s">
        <v>23</v>
      </c>
      <c r="D79" s="18" t="s">
        <v>106</v>
      </c>
      <c r="E79" s="18" t="s">
        <v>25</v>
      </c>
      <c r="F79" s="20" t="n">
        <v>12753</v>
      </c>
      <c r="G79" s="20" t="n">
        <v>2792.91</v>
      </c>
      <c r="H79" s="18" t="n">
        <v>9</v>
      </c>
    </row>
    <row r="80" customFormat="false" ht="15" hidden="false" customHeight="true" outlineLevel="0" collapsed="false">
      <c r="A80" s="18" t="s">
        <v>132</v>
      </c>
      <c r="B80" s="19" t="n">
        <v>45631</v>
      </c>
      <c r="C80" s="18" t="s">
        <v>39</v>
      </c>
      <c r="D80" s="18" t="s">
        <v>70</v>
      </c>
      <c r="E80" s="18" t="s">
        <v>21</v>
      </c>
      <c r="F80" s="20" t="n">
        <v>235866</v>
      </c>
      <c r="G80" s="20" t="n">
        <v>41748.28</v>
      </c>
      <c r="H80" s="18" t="n">
        <v>6</v>
      </c>
    </row>
    <row r="81" customFormat="false" ht="15" hidden="false" customHeight="true" outlineLevel="0" collapsed="false">
      <c r="A81" s="18" t="s">
        <v>133</v>
      </c>
      <c r="B81" s="19" t="n">
        <v>45636</v>
      </c>
      <c r="C81" s="18" t="s">
        <v>19</v>
      </c>
      <c r="D81" s="18" t="s">
        <v>46</v>
      </c>
      <c r="E81" s="18" t="s">
        <v>29</v>
      </c>
      <c r="F81" s="20" t="n">
        <v>6370</v>
      </c>
      <c r="G81" s="20" t="n">
        <v>936.39</v>
      </c>
      <c r="H81" s="18" t="n">
        <v>1</v>
      </c>
    </row>
    <row r="82" customFormat="false" ht="15" hidden="false" customHeight="true" outlineLevel="0" collapsed="false">
      <c r="A82" s="18" t="s">
        <v>134</v>
      </c>
      <c r="B82" s="19" t="n">
        <v>45501</v>
      </c>
      <c r="C82" s="18" t="s">
        <v>27</v>
      </c>
      <c r="D82" s="18" t="s">
        <v>106</v>
      </c>
      <c r="E82" s="18" t="s">
        <v>25</v>
      </c>
      <c r="F82" s="20" t="n">
        <v>27240</v>
      </c>
      <c r="G82" s="20" t="n">
        <v>5665.92</v>
      </c>
      <c r="H82" s="18" t="n">
        <v>10</v>
      </c>
    </row>
    <row r="83" customFormat="false" ht="15" hidden="false" customHeight="true" outlineLevel="0" collapsed="false">
      <c r="A83" s="18" t="s">
        <v>135</v>
      </c>
      <c r="B83" s="19" t="n">
        <v>45335</v>
      </c>
      <c r="C83" s="18" t="s">
        <v>23</v>
      </c>
      <c r="D83" s="18" t="s">
        <v>52</v>
      </c>
      <c r="E83" s="18" t="s">
        <v>32</v>
      </c>
      <c r="F83" s="20" t="n">
        <v>17037</v>
      </c>
      <c r="G83" s="20" t="n">
        <v>2453.33</v>
      </c>
      <c r="H83" s="18" t="n">
        <v>9</v>
      </c>
    </row>
    <row r="84" customFormat="false" ht="15" hidden="false" customHeight="true" outlineLevel="0" collapsed="false">
      <c r="A84" s="18" t="s">
        <v>136</v>
      </c>
      <c r="B84" s="19" t="n">
        <v>45551</v>
      </c>
      <c r="C84" s="18" t="s">
        <v>41</v>
      </c>
      <c r="D84" s="18" t="s">
        <v>46</v>
      </c>
      <c r="E84" s="18" t="s">
        <v>29</v>
      </c>
      <c r="F84" s="20" t="n">
        <v>101370</v>
      </c>
      <c r="G84" s="20" t="n">
        <v>17942.49</v>
      </c>
      <c r="H84" s="18" t="n">
        <v>10</v>
      </c>
    </row>
    <row r="85" customFormat="false" ht="15" hidden="false" customHeight="true" outlineLevel="0" collapsed="false">
      <c r="A85" s="18" t="s">
        <v>137</v>
      </c>
      <c r="B85" s="19" t="n">
        <v>45452</v>
      </c>
      <c r="C85" s="18" t="s">
        <v>27</v>
      </c>
      <c r="D85" s="18" t="s">
        <v>120</v>
      </c>
      <c r="E85" s="18" t="s">
        <v>29</v>
      </c>
      <c r="F85" s="20" t="n">
        <v>71046</v>
      </c>
      <c r="G85" s="20" t="n">
        <v>9875.39</v>
      </c>
      <c r="H85" s="18" t="n">
        <v>9</v>
      </c>
    </row>
    <row r="86" customFormat="false" ht="15" hidden="false" customHeight="true" outlineLevel="0" collapsed="false">
      <c r="A86" s="18" t="s">
        <v>138</v>
      </c>
      <c r="B86" s="19" t="n">
        <v>45296</v>
      </c>
      <c r="C86" s="18" t="s">
        <v>27</v>
      </c>
      <c r="D86" s="18" t="s">
        <v>93</v>
      </c>
      <c r="E86" s="18" t="s">
        <v>32</v>
      </c>
      <c r="F86" s="20" t="n">
        <v>59424</v>
      </c>
      <c r="G86" s="20" t="n">
        <v>7012.03</v>
      </c>
      <c r="H86" s="18" t="n">
        <v>4</v>
      </c>
    </row>
    <row r="87" customFormat="false" ht="15" hidden="false" customHeight="true" outlineLevel="0" collapsed="false">
      <c r="A87" s="18" t="s">
        <v>139</v>
      </c>
      <c r="B87" s="19" t="n">
        <v>45438</v>
      </c>
      <c r="C87" s="18" t="s">
        <v>39</v>
      </c>
      <c r="D87" s="18" t="s">
        <v>120</v>
      </c>
      <c r="E87" s="18" t="s">
        <v>29</v>
      </c>
      <c r="F87" s="20" t="n">
        <v>57528</v>
      </c>
      <c r="G87" s="20" t="n">
        <v>9434.59</v>
      </c>
      <c r="H87" s="18" t="n">
        <v>6</v>
      </c>
    </row>
    <row r="88" customFormat="false" ht="15" hidden="false" customHeight="true" outlineLevel="0" collapsed="false">
      <c r="A88" s="18" t="s">
        <v>140</v>
      </c>
      <c r="B88" s="19" t="n">
        <v>45637</v>
      </c>
      <c r="C88" s="18" t="s">
        <v>27</v>
      </c>
      <c r="D88" s="18" t="s">
        <v>24</v>
      </c>
      <c r="E88" s="18" t="s">
        <v>25</v>
      </c>
      <c r="F88" s="20" t="n">
        <v>12141</v>
      </c>
      <c r="G88" s="20" t="n">
        <v>2039.69</v>
      </c>
      <c r="H88" s="18" t="n">
        <v>9</v>
      </c>
    </row>
    <row r="89" customFormat="false" ht="15" hidden="false" customHeight="true" outlineLevel="0" collapsed="false">
      <c r="A89" s="18" t="s">
        <v>141</v>
      </c>
      <c r="B89" s="19" t="n">
        <v>45313</v>
      </c>
      <c r="C89" s="18" t="s">
        <v>19</v>
      </c>
      <c r="D89" s="18" t="s">
        <v>86</v>
      </c>
      <c r="E89" s="18" t="s">
        <v>21</v>
      </c>
      <c r="F89" s="20" t="n">
        <v>369882</v>
      </c>
      <c r="G89" s="20" t="n">
        <v>92100.62</v>
      </c>
      <c r="H89" s="18" t="n">
        <v>9</v>
      </c>
    </row>
    <row r="90" customFormat="false" ht="15" hidden="false" customHeight="true" outlineLevel="0" collapsed="false">
      <c r="A90" s="18" t="s">
        <v>142</v>
      </c>
      <c r="B90" s="19" t="n">
        <v>45558</v>
      </c>
      <c r="C90" s="18" t="s">
        <v>19</v>
      </c>
      <c r="D90" s="18" t="s">
        <v>106</v>
      </c>
      <c r="E90" s="18" t="s">
        <v>25</v>
      </c>
      <c r="F90" s="20" t="n">
        <v>10350</v>
      </c>
      <c r="G90" s="20" t="n">
        <v>3508.65</v>
      </c>
      <c r="H90" s="18" t="n">
        <v>10</v>
      </c>
    </row>
    <row r="91" customFormat="false" ht="15" hidden="false" customHeight="true" outlineLevel="0" collapsed="false">
      <c r="A91" s="18" t="s">
        <v>143</v>
      </c>
      <c r="B91" s="19" t="n">
        <v>45627</v>
      </c>
      <c r="C91" s="18" t="s">
        <v>39</v>
      </c>
      <c r="D91" s="18" t="s">
        <v>106</v>
      </c>
      <c r="E91" s="18" t="s">
        <v>25</v>
      </c>
      <c r="F91" s="20" t="n">
        <v>5466</v>
      </c>
      <c r="G91" s="20" t="n">
        <v>978.41</v>
      </c>
      <c r="H91" s="18" t="n">
        <v>3</v>
      </c>
    </row>
    <row r="92" customFormat="false" ht="15" hidden="false" customHeight="true" outlineLevel="0" collapsed="false">
      <c r="A92" s="18" t="s">
        <v>144</v>
      </c>
      <c r="B92" s="19" t="n">
        <v>45438</v>
      </c>
      <c r="C92" s="18" t="s">
        <v>19</v>
      </c>
      <c r="D92" s="18" t="s">
        <v>93</v>
      </c>
      <c r="E92" s="18" t="s">
        <v>32</v>
      </c>
      <c r="F92" s="20" t="n">
        <v>12814</v>
      </c>
      <c r="G92" s="20" t="n">
        <v>2024.61</v>
      </c>
      <c r="H92" s="18" t="n">
        <v>1</v>
      </c>
    </row>
    <row r="93" customFormat="false" ht="15" hidden="false" customHeight="true" outlineLevel="0" collapsed="false">
      <c r="A93" s="18" t="s">
        <v>145</v>
      </c>
      <c r="B93" s="19" t="n">
        <v>45507</v>
      </c>
      <c r="C93" s="18" t="s">
        <v>27</v>
      </c>
      <c r="D93" s="18" t="s">
        <v>52</v>
      </c>
      <c r="E93" s="18" t="s">
        <v>32</v>
      </c>
      <c r="F93" s="20" t="n">
        <v>26369</v>
      </c>
      <c r="G93" s="20" t="n">
        <v>3797.14</v>
      </c>
      <c r="H93" s="18" t="n">
        <v>7</v>
      </c>
    </row>
    <row r="94" customFormat="false" ht="15" hidden="false" customHeight="true" outlineLevel="0" collapsed="false">
      <c r="A94" s="18" t="s">
        <v>146</v>
      </c>
      <c r="B94" s="19" t="n">
        <v>45512</v>
      </c>
      <c r="C94" s="18" t="s">
        <v>41</v>
      </c>
      <c r="D94" s="18" t="s">
        <v>86</v>
      </c>
      <c r="E94" s="18" t="s">
        <v>21</v>
      </c>
      <c r="F94" s="20" t="n">
        <v>468910</v>
      </c>
      <c r="G94" s="20" t="n">
        <v>88623.99</v>
      </c>
      <c r="H94" s="18" t="n">
        <v>10</v>
      </c>
    </row>
    <row r="95" customFormat="false" ht="15" hidden="false" customHeight="true" outlineLevel="0" collapsed="false">
      <c r="A95" s="18" t="s">
        <v>147</v>
      </c>
      <c r="B95" s="19" t="n">
        <v>45542</v>
      </c>
      <c r="C95" s="18" t="s">
        <v>19</v>
      </c>
      <c r="D95" s="18" t="s">
        <v>36</v>
      </c>
      <c r="E95" s="18" t="s">
        <v>25</v>
      </c>
      <c r="F95" s="20" t="n">
        <v>11400</v>
      </c>
      <c r="G95" s="20" t="n">
        <v>3876</v>
      </c>
      <c r="H95" s="18" t="n">
        <v>4</v>
      </c>
    </row>
    <row r="96" customFormat="false" ht="15" hidden="false" customHeight="true" outlineLevel="0" collapsed="false">
      <c r="A96" s="18" t="s">
        <v>148</v>
      </c>
      <c r="B96" s="19" t="n">
        <v>45346</v>
      </c>
      <c r="C96" s="18" t="s">
        <v>27</v>
      </c>
      <c r="D96" s="18" t="s">
        <v>20</v>
      </c>
      <c r="E96" s="18" t="s">
        <v>21</v>
      </c>
      <c r="F96" s="20" t="n">
        <v>62720</v>
      </c>
      <c r="G96" s="20" t="n">
        <v>13861.12</v>
      </c>
      <c r="H96" s="18" t="n">
        <v>10</v>
      </c>
    </row>
    <row r="97" customFormat="false" ht="15" hidden="false" customHeight="true" outlineLevel="0" collapsed="false">
      <c r="A97" s="18" t="s">
        <v>149</v>
      </c>
      <c r="B97" s="19" t="n">
        <v>45341</v>
      </c>
      <c r="C97" s="18" t="s">
        <v>41</v>
      </c>
      <c r="D97" s="18" t="s">
        <v>34</v>
      </c>
      <c r="E97" s="18" t="s">
        <v>25</v>
      </c>
      <c r="F97" s="20" t="n">
        <v>8448</v>
      </c>
      <c r="G97" s="20" t="n">
        <v>1968.38</v>
      </c>
      <c r="H97" s="18" t="n">
        <v>6</v>
      </c>
    </row>
    <row r="98" customFormat="false" ht="15" hidden="false" customHeight="true" outlineLevel="0" collapsed="false">
      <c r="A98" s="18" t="s">
        <v>150</v>
      </c>
      <c r="B98" s="19" t="n">
        <v>45416</v>
      </c>
      <c r="C98" s="18" t="s">
        <v>41</v>
      </c>
      <c r="D98" s="18" t="s">
        <v>46</v>
      </c>
      <c r="E98" s="18" t="s">
        <v>29</v>
      </c>
      <c r="F98" s="20" t="n">
        <v>13250</v>
      </c>
      <c r="G98" s="20" t="n">
        <v>1351.5</v>
      </c>
      <c r="H98" s="18" t="n">
        <v>2</v>
      </c>
    </row>
    <row r="99" customFormat="false" ht="15" hidden="false" customHeight="true" outlineLevel="0" collapsed="false">
      <c r="A99" s="18" t="s">
        <v>151</v>
      </c>
      <c r="B99" s="19" t="n">
        <v>45522</v>
      </c>
      <c r="C99" s="18" t="s">
        <v>23</v>
      </c>
      <c r="D99" s="18" t="s">
        <v>49</v>
      </c>
      <c r="E99" s="18" t="s">
        <v>50</v>
      </c>
      <c r="F99" s="20" t="n">
        <v>140</v>
      </c>
      <c r="G99" s="20" t="n">
        <v>47.74</v>
      </c>
      <c r="H99" s="18" t="n">
        <v>7</v>
      </c>
    </row>
    <row r="100" customFormat="false" ht="15" hidden="false" customHeight="true" outlineLevel="0" collapsed="false">
      <c r="A100" s="18" t="s">
        <v>152</v>
      </c>
      <c r="B100" s="19" t="n">
        <v>45497</v>
      </c>
      <c r="C100" s="18" t="s">
        <v>41</v>
      </c>
      <c r="D100" s="18" t="s">
        <v>75</v>
      </c>
      <c r="E100" s="18" t="s">
        <v>29</v>
      </c>
      <c r="F100" s="20" t="n">
        <v>12825</v>
      </c>
      <c r="G100" s="20" t="n">
        <v>1641.6</v>
      </c>
      <c r="H100" s="18" t="n">
        <v>9</v>
      </c>
    </row>
    <row r="101" customFormat="false" ht="15" hidden="false" customHeight="true" outlineLevel="0" collapsed="false">
      <c r="A101" s="18" t="s">
        <v>153</v>
      </c>
      <c r="B101" s="19" t="n">
        <v>45639</v>
      </c>
      <c r="C101" s="18" t="s">
        <v>23</v>
      </c>
      <c r="D101" s="18" t="s">
        <v>36</v>
      </c>
      <c r="E101" s="18" t="s">
        <v>25</v>
      </c>
      <c r="F101" s="20" t="n">
        <v>33340</v>
      </c>
      <c r="G101" s="20" t="n">
        <v>11535.64</v>
      </c>
      <c r="H101" s="18" t="n">
        <v>10</v>
      </c>
    </row>
    <row r="102" customFormat="false" ht="15" hidden="false" customHeight="true" outlineLevel="0" collapsed="false">
      <c r="A102" s="18" t="s">
        <v>154</v>
      </c>
      <c r="B102" s="19" t="n">
        <v>45462</v>
      </c>
      <c r="C102" s="18" t="s">
        <v>19</v>
      </c>
      <c r="D102" s="18" t="s">
        <v>31</v>
      </c>
      <c r="E102" s="18" t="s">
        <v>32</v>
      </c>
      <c r="F102" s="20" t="n">
        <v>189812</v>
      </c>
      <c r="G102" s="20" t="n">
        <v>33406.91</v>
      </c>
      <c r="H102" s="18" t="n">
        <v>4</v>
      </c>
    </row>
    <row r="103" customFormat="false" ht="15" hidden="false" customHeight="true" outlineLevel="0" collapsed="false">
      <c r="A103" s="18" t="s">
        <v>155</v>
      </c>
      <c r="B103" s="19" t="n">
        <v>45634</v>
      </c>
      <c r="C103" s="18" t="s">
        <v>27</v>
      </c>
      <c r="D103" s="18" t="s">
        <v>70</v>
      </c>
      <c r="E103" s="18" t="s">
        <v>21</v>
      </c>
      <c r="F103" s="20" t="n">
        <v>26197</v>
      </c>
      <c r="G103" s="20" t="n">
        <v>6051.51</v>
      </c>
      <c r="H103" s="18" t="n">
        <v>1</v>
      </c>
    </row>
    <row r="104" customFormat="false" ht="15" hidden="false" customHeight="true" outlineLevel="0" collapsed="false">
      <c r="A104" s="18" t="s">
        <v>156</v>
      </c>
      <c r="B104" s="19" t="n">
        <v>45625</v>
      </c>
      <c r="C104" s="18" t="s">
        <v>27</v>
      </c>
      <c r="D104" s="18" t="s">
        <v>83</v>
      </c>
      <c r="E104" s="18" t="s">
        <v>21</v>
      </c>
      <c r="F104" s="20" t="n">
        <v>28923</v>
      </c>
      <c r="G104" s="20" t="n">
        <v>5871.37</v>
      </c>
      <c r="H104" s="18" t="n">
        <v>3</v>
      </c>
    </row>
    <row r="105" customFormat="false" ht="15" hidden="false" customHeight="true" outlineLevel="0" collapsed="false">
      <c r="A105" s="18" t="s">
        <v>157</v>
      </c>
      <c r="B105" s="19" t="n">
        <v>45429</v>
      </c>
      <c r="C105" s="18" t="s">
        <v>41</v>
      </c>
      <c r="D105" s="18" t="s">
        <v>36</v>
      </c>
      <c r="E105" s="18" t="s">
        <v>25</v>
      </c>
      <c r="F105" s="20" t="n">
        <v>4244</v>
      </c>
      <c r="G105" s="20" t="n">
        <v>1319.88</v>
      </c>
      <c r="H105" s="18" t="n">
        <v>1</v>
      </c>
    </row>
    <row r="106" customFormat="false" ht="15" hidden="false" customHeight="true" outlineLevel="0" collapsed="false">
      <c r="A106" s="18" t="s">
        <v>158</v>
      </c>
      <c r="B106" s="19" t="n">
        <v>45414</v>
      </c>
      <c r="C106" s="18" t="s">
        <v>41</v>
      </c>
      <c r="D106" s="18" t="s">
        <v>44</v>
      </c>
      <c r="E106" s="18" t="s">
        <v>32</v>
      </c>
      <c r="F106" s="20" t="n">
        <v>6320</v>
      </c>
      <c r="G106" s="20" t="n">
        <v>998.56</v>
      </c>
      <c r="H106" s="18" t="n">
        <v>2</v>
      </c>
    </row>
    <row r="107" customFormat="false" ht="15" hidden="false" customHeight="true" outlineLevel="0" collapsed="false">
      <c r="A107" s="18" t="s">
        <v>159</v>
      </c>
      <c r="B107" s="19" t="n">
        <v>45350</v>
      </c>
      <c r="C107" s="18" t="s">
        <v>23</v>
      </c>
      <c r="D107" s="18" t="s">
        <v>20</v>
      </c>
      <c r="E107" s="18" t="s">
        <v>21</v>
      </c>
      <c r="F107" s="20" t="n">
        <v>115680</v>
      </c>
      <c r="G107" s="20" t="n">
        <v>17699.04</v>
      </c>
      <c r="H107" s="18" t="n">
        <v>8</v>
      </c>
    </row>
    <row r="108" customFormat="false" ht="15" hidden="false" customHeight="true" outlineLevel="0" collapsed="false">
      <c r="A108" s="18" t="s">
        <v>160</v>
      </c>
      <c r="B108" s="19" t="n">
        <v>45311</v>
      </c>
      <c r="C108" s="18" t="s">
        <v>27</v>
      </c>
      <c r="D108" s="18" t="s">
        <v>42</v>
      </c>
      <c r="E108" s="18" t="s">
        <v>21</v>
      </c>
      <c r="F108" s="20" t="n">
        <v>69512</v>
      </c>
      <c r="G108" s="20" t="n">
        <v>16613.37</v>
      </c>
      <c r="H108" s="18" t="n">
        <v>4</v>
      </c>
    </row>
    <row r="109" customFormat="false" ht="15" hidden="false" customHeight="true" outlineLevel="0" collapsed="false">
      <c r="A109" s="18" t="s">
        <v>161</v>
      </c>
      <c r="B109" s="19" t="n">
        <v>45638</v>
      </c>
      <c r="C109" s="18" t="s">
        <v>39</v>
      </c>
      <c r="D109" s="18" t="s">
        <v>83</v>
      </c>
      <c r="E109" s="18" t="s">
        <v>21</v>
      </c>
      <c r="F109" s="20" t="n">
        <v>76363</v>
      </c>
      <c r="G109" s="20" t="n">
        <v>9392.65</v>
      </c>
      <c r="H109" s="18" t="n">
        <v>7</v>
      </c>
    </row>
    <row r="110" customFormat="false" ht="15" hidden="false" customHeight="true" outlineLevel="0" collapsed="false">
      <c r="A110" s="18" t="s">
        <v>162</v>
      </c>
      <c r="B110" s="19" t="n">
        <v>45446</v>
      </c>
      <c r="C110" s="18" t="s">
        <v>23</v>
      </c>
      <c r="D110" s="18" t="s">
        <v>55</v>
      </c>
      <c r="E110" s="18" t="s">
        <v>32</v>
      </c>
      <c r="F110" s="20" t="n">
        <v>203415</v>
      </c>
      <c r="G110" s="20" t="n">
        <v>24002.97</v>
      </c>
      <c r="H110" s="18" t="n">
        <v>5</v>
      </c>
    </row>
    <row r="111" customFormat="false" ht="15" hidden="false" customHeight="true" outlineLevel="0" collapsed="false">
      <c r="A111" s="18" t="s">
        <v>87</v>
      </c>
      <c r="B111" s="19" t="n">
        <v>45387</v>
      </c>
      <c r="C111" s="18" t="s">
        <v>27</v>
      </c>
      <c r="D111" s="18" t="s">
        <v>88</v>
      </c>
      <c r="E111" s="18" t="s">
        <v>50</v>
      </c>
      <c r="F111" s="20" t="n">
        <v>364</v>
      </c>
      <c r="G111" s="20"/>
      <c r="H111" s="18" t="n">
        <v>1</v>
      </c>
    </row>
    <row r="112" customFormat="false" ht="15" hidden="false" customHeight="true" outlineLevel="0" collapsed="false">
      <c r="A112" s="18" t="s">
        <v>163</v>
      </c>
      <c r="B112" s="19" t="n">
        <v>45473</v>
      </c>
      <c r="C112" s="18" t="s">
        <v>23</v>
      </c>
      <c r="D112" s="18" t="s">
        <v>55</v>
      </c>
      <c r="E112" s="18" t="s">
        <v>32</v>
      </c>
      <c r="F112" s="20" t="n">
        <v>332610</v>
      </c>
      <c r="G112" s="20" t="n">
        <v>55213.26</v>
      </c>
      <c r="H112" s="18" t="n">
        <v>10</v>
      </c>
    </row>
    <row r="113" customFormat="false" ht="15" hidden="false" customHeight="true" outlineLevel="0" collapsed="false">
      <c r="A113" s="18" t="s">
        <v>164</v>
      </c>
      <c r="B113" s="19" t="n">
        <v>45443</v>
      </c>
      <c r="C113" s="18" t="s">
        <v>23</v>
      </c>
      <c r="D113" s="18" t="s">
        <v>34</v>
      </c>
      <c r="E113" s="18" t="s">
        <v>25</v>
      </c>
      <c r="F113" s="20" t="n">
        <v>2636</v>
      </c>
      <c r="G113" s="20" t="n">
        <v>716.99</v>
      </c>
      <c r="H113" s="18" t="n">
        <v>4</v>
      </c>
    </row>
    <row r="114" customFormat="false" ht="15" hidden="false" customHeight="true" outlineLevel="0" collapsed="false">
      <c r="A114" s="18" t="s">
        <v>165</v>
      </c>
      <c r="B114" s="19" t="n">
        <v>45319</v>
      </c>
      <c r="C114" s="18" t="s">
        <v>39</v>
      </c>
      <c r="D114" s="18" t="s">
        <v>24</v>
      </c>
      <c r="E114" s="18" t="s">
        <v>25</v>
      </c>
      <c r="F114" s="20" t="n">
        <v>8710</v>
      </c>
      <c r="G114" s="20" t="n">
        <v>1428.44</v>
      </c>
      <c r="H114" s="18" t="n">
        <v>5</v>
      </c>
    </row>
    <row r="115" customFormat="false" ht="15" hidden="false" customHeight="true" outlineLevel="0" collapsed="false">
      <c r="A115" s="18" t="s">
        <v>166</v>
      </c>
      <c r="B115" s="19" t="n">
        <v>45569</v>
      </c>
      <c r="C115" s="18" t="s">
        <v>41</v>
      </c>
      <c r="D115" s="18" t="s">
        <v>28</v>
      </c>
      <c r="E115" s="18" t="s">
        <v>29</v>
      </c>
      <c r="F115" s="20" t="n">
        <v>2608</v>
      </c>
      <c r="G115" s="20" t="n">
        <v>508.56</v>
      </c>
      <c r="H115" s="18" t="n">
        <v>1</v>
      </c>
    </row>
    <row r="116" customFormat="false" ht="15" hidden="false" customHeight="true" outlineLevel="0" collapsed="false">
      <c r="A116" s="18" t="s">
        <v>167</v>
      </c>
      <c r="B116" s="19" t="n">
        <v>45617</v>
      </c>
      <c r="C116" s="18" t="s">
        <v>41</v>
      </c>
      <c r="D116" s="18" t="s">
        <v>24</v>
      </c>
      <c r="E116" s="18" t="s">
        <v>25</v>
      </c>
      <c r="F116" s="20" t="n">
        <v>4572</v>
      </c>
      <c r="G116" s="20" t="n">
        <v>818.39</v>
      </c>
      <c r="H116" s="18" t="n">
        <v>2</v>
      </c>
    </row>
    <row r="117" customFormat="false" ht="15" hidden="false" customHeight="true" outlineLevel="0" collapsed="false">
      <c r="A117" s="18" t="s">
        <v>168</v>
      </c>
      <c r="B117" s="19" t="n">
        <v>45574</v>
      </c>
      <c r="C117" s="18" t="s">
        <v>27</v>
      </c>
      <c r="D117" s="18" t="s">
        <v>72</v>
      </c>
      <c r="E117" s="18" t="s">
        <v>29</v>
      </c>
      <c r="F117" s="20" t="n">
        <v>6832</v>
      </c>
      <c r="G117" s="20" t="n">
        <v>737.86</v>
      </c>
      <c r="H117" s="18" t="n">
        <v>1</v>
      </c>
    </row>
    <row r="118" customFormat="false" ht="15" hidden="false" customHeight="true" outlineLevel="0" collapsed="false">
      <c r="A118" s="18" t="s">
        <v>169</v>
      </c>
      <c r="B118" s="19" t="n">
        <v>45562</v>
      </c>
      <c r="C118" s="18" t="s">
        <v>23</v>
      </c>
      <c r="D118" s="18" t="s">
        <v>49</v>
      </c>
      <c r="E118" s="18" t="s">
        <v>50</v>
      </c>
      <c r="F118" s="20" t="n">
        <v>356</v>
      </c>
      <c r="G118" s="20" t="n">
        <v>124.96</v>
      </c>
      <c r="H118" s="18" t="n">
        <v>4</v>
      </c>
    </row>
    <row r="119" customFormat="false" ht="15" hidden="false" customHeight="true" outlineLevel="0" collapsed="false">
      <c r="A119" s="18" t="s">
        <v>170</v>
      </c>
      <c r="B119" s="19" t="n">
        <v>45500</v>
      </c>
      <c r="C119" s="18" t="s">
        <v>39</v>
      </c>
      <c r="D119" s="18" t="s">
        <v>52</v>
      </c>
      <c r="E119" s="18" t="s">
        <v>32</v>
      </c>
      <c r="F119" s="20" t="n">
        <v>12396</v>
      </c>
      <c r="G119" s="20" t="n">
        <v>1524.71</v>
      </c>
      <c r="H119" s="18" t="n">
        <v>2</v>
      </c>
    </row>
    <row r="120" customFormat="false" ht="15" hidden="false" customHeight="true" outlineLevel="0" collapsed="false">
      <c r="A120" s="18" t="s">
        <v>171</v>
      </c>
      <c r="B120" s="19" t="n">
        <v>45315</v>
      </c>
      <c r="C120" s="18" t="s">
        <v>41</v>
      </c>
      <c r="D120" s="18" t="s">
        <v>83</v>
      </c>
      <c r="E120" s="18" t="s">
        <v>21</v>
      </c>
      <c r="F120" s="20" t="n">
        <v>16212</v>
      </c>
      <c r="G120" s="20" t="n">
        <v>3436.94</v>
      </c>
      <c r="H120" s="18" t="n">
        <v>6</v>
      </c>
    </row>
    <row r="121" customFormat="false" ht="15" hidden="false" customHeight="true" outlineLevel="0" collapsed="false">
      <c r="A121" s="18" t="s">
        <v>172</v>
      </c>
      <c r="B121" s="19" t="n">
        <v>45520</v>
      </c>
      <c r="C121" s="18" t="s">
        <v>27</v>
      </c>
      <c r="D121" s="18" t="s">
        <v>64</v>
      </c>
      <c r="E121" s="18" t="s">
        <v>32</v>
      </c>
      <c r="F121" s="20" t="n">
        <v>263490</v>
      </c>
      <c r="G121" s="20" t="n">
        <v>26085.51</v>
      </c>
      <c r="H121" s="18" t="n">
        <v>5</v>
      </c>
    </row>
    <row r="122" customFormat="false" ht="15" hidden="false" customHeight="true" outlineLevel="0" collapsed="false">
      <c r="A122" s="18" t="s">
        <v>173</v>
      </c>
      <c r="B122" s="19" t="n">
        <v>45491</v>
      </c>
      <c r="C122" s="18" t="s">
        <v>19</v>
      </c>
      <c r="D122" s="18" t="s">
        <v>24</v>
      </c>
      <c r="E122" s="18" t="s">
        <v>25</v>
      </c>
      <c r="F122" s="20" t="n">
        <v>9472</v>
      </c>
      <c r="G122" s="20" t="n">
        <v>2225.92</v>
      </c>
      <c r="H122" s="18" t="n">
        <v>8</v>
      </c>
    </row>
    <row r="123" customFormat="false" ht="15" hidden="false" customHeight="true" outlineLevel="0" collapsed="false">
      <c r="A123" s="18" t="s">
        <v>174</v>
      </c>
      <c r="B123" s="19" t="n">
        <v>45544</v>
      </c>
      <c r="C123" s="18" t="s">
        <v>39</v>
      </c>
      <c r="D123" s="18" t="s">
        <v>91</v>
      </c>
      <c r="E123" s="18" t="s">
        <v>25</v>
      </c>
      <c r="F123" s="20" t="n">
        <v>38826</v>
      </c>
      <c r="G123" s="20" t="n">
        <v>11997.23</v>
      </c>
      <c r="H123" s="18" t="n">
        <v>9</v>
      </c>
    </row>
    <row r="124" customFormat="false" ht="15" hidden="false" customHeight="true" outlineLevel="0" collapsed="false">
      <c r="A124" s="18" t="s">
        <v>175</v>
      </c>
      <c r="B124" s="19" t="n">
        <v>45538</v>
      </c>
      <c r="C124" s="18" t="s">
        <v>39</v>
      </c>
      <c r="D124" s="18" t="s">
        <v>88</v>
      </c>
      <c r="E124" s="18" t="s">
        <v>50</v>
      </c>
      <c r="F124" s="20" t="n">
        <v>134</v>
      </c>
      <c r="G124" s="20" t="n">
        <v>36.98</v>
      </c>
      <c r="H124" s="18" t="n">
        <v>1</v>
      </c>
    </row>
    <row r="125" customFormat="false" ht="15" hidden="false" customHeight="true" outlineLevel="0" collapsed="false">
      <c r="A125" s="18" t="s">
        <v>176</v>
      </c>
      <c r="B125" s="19" t="n">
        <v>45631</v>
      </c>
      <c r="C125" s="18" t="s">
        <v>27</v>
      </c>
      <c r="D125" s="18" t="s">
        <v>46</v>
      </c>
      <c r="E125" s="18" t="s">
        <v>29</v>
      </c>
      <c r="F125" s="20" t="n">
        <v>18028</v>
      </c>
      <c r="G125" s="20" t="n">
        <v>2343.64</v>
      </c>
      <c r="H125" s="18" t="n">
        <v>2</v>
      </c>
    </row>
    <row r="126" customFormat="false" ht="15" hidden="false" customHeight="true" outlineLevel="0" collapsed="false">
      <c r="A126" s="18" t="s">
        <v>177</v>
      </c>
      <c r="B126" s="19" t="n">
        <v>45570</v>
      </c>
      <c r="C126" s="18" t="s">
        <v>27</v>
      </c>
      <c r="D126" s="18" t="s">
        <v>72</v>
      </c>
      <c r="E126" s="18" t="s">
        <v>29</v>
      </c>
      <c r="F126" s="20" t="n">
        <v>61334</v>
      </c>
      <c r="G126" s="20" t="n">
        <v>7666.75</v>
      </c>
      <c r="H126" s="18" t="n">
        <v>7</v>
      </c>
    </row>
    <row r="127" customFormat="false" ht="15" hidden="false" customHeight="true" outlineLevel="0" collapsed="false">
      <c r="A127" s="18" t="s">
        <v>178</v>
      </c>
      <c r="B127" s="19" t="n">
        <v>45304</v>
      </c>
      <c r="C127" s="18" t="s">
        <v>27</v>
      </c>
      <c r="D127" s="18" t="s">
        <v>52</v>
      </c>
      <c r="E127" s="18" t="s">
        <v>32</v>
      </c>
      <c r="F127" s="20" t="n">
        <v>21035</v>
      </c>
      <c r="G127" s="20" t="n">
        <v>3618.02</v>
      </c>
      <c r="H127" s="18" t="n">
        <v>5</v>
      </c>
    </row>
    <row r="128" customFormat="false" ht="15" hidden="false" customHeight="true" outlineLevel="0" collapsed="false">
      <c r="A128" s="18" t="s">
        <v>179</v>
      </c>
      <c r="B128" s="19" t="n">
        <v>45459</v>
      </c>
      <c r="C128" s="18" t="s">
        <v>23</v>
      </c>
      <c r="D128" s="18" t="s">
        <v>62</v>
      </c>
      <c r="E128" s="18" t="s">
        <v>50</v>
      </c>
      <c r="F128" s="20" t="n">
        <v>184</v>
      </c>
      <c r="G128" s="20" t="n">
        <v>63.11</v>
      </c>
      <c r="H128" s="18" t="n">
        <v>2</v>
      </c>
    </row>
    <row r="129" customFormat="false" ht="15" hidden="false" customHeight="true" outlineLevel="0" collapsed="false">
      <c r="A129" s="18" t="s">
        <v>180</v>
      </c>
      <c r="B129" s="19" t="n">
        <v>45570</v>
      </c>
      <c r="C129" s="18" t="s">
        <v>27</v>
      </c>
      <c r="D129" s="18" t="s">
        <v>83</v>
      </c>
      <c r="E129" s="18" t="s">
        <v>21</v>
      </c>
      <c r="F129" s="20" t="n">
        <v>10356</v>
      </c>
      <c r="G129" s="20" t="n">
        <v>2195.47</v>
      </c>
      <c r="H129" s="18" t="n">
        <v>4</v>
      </c>
    </row>
    <row r="130" customFormat="false" ht="15" hidden="false" customHeight="true" outlineLevel="0" collapsed="false">
      <c r="A130" s="18" t="s">
        <v>181</v>
      </c>
      <c r="B130" s="19" t="n">
        <v>45394</v>
      </c>
      <c r="C130" s="18" t="s">
        <v>41</v>
      </c>
      <c r="D130" s="18" t="s">
        <v>42</v>
      </c>
      <c r="E130" s="18" t="s">
        <v>21</v>
      </c>
      <c r="F130" s="20" t="n">
        <v>11478</v>
      </c>
      <c r="G130" s="20" t="n">
        <v>1457.71</v>
      </c>
      <c r="H130" s="18" t="n">
        <v>1</v>
      </c>
    </row>
    <row r="131" customFormat="false" ht="15" hidden="false" customHeight="true" outlineLevel="0" collapsed="false">
      <c r="A131" s="18" t="s">
        <v>182</v>
      </c>
      <c r="B131" s="19" t="n">
        <v>45546</v>
      </c>
      <c r="C131" s="18" t="s">
        <v>19</v>
      </c>
      <c r="D131" s="18" t="s">
        <v>24</v>
      </c>
      <c r="E131" s="18" t="s">
        <v>25</v>
      </c>
      <c r="F131" s="20" t="n">
        <v>10314</v>
      </c>
      <c r="G131" s="20" t="n">
        <v>3197.34</v>
      </c>
      <c r="H131" s="18" t="n">
        <v>9</v>
      </c>
    </row>
    <row r="132" customFormat="false" ht="15" hidden="false" customHeight="true" outlineLevel="0" collapsed="false">
      <c r="A132" s="18" t="s">
        <v>183</v>
      </c>
      <c r="B132" s="19" t="n">
        <v>45398</v>
      </c>
      <c r="C132" s="18" t="s">
        <v>23</v>
      </c>
      <c r="D132" s="18" t="s">
        <v>70</v>
      </c>
      <c r="E132" s="18" t="s">
        <v>21</v>
      </c>
      <c r="F132" s="20" t="n">
        <v>217744</v>
      </c>
      <c r="G132" s="20" t="n">
        <v>36798.74</v>
      </c>
      <c r="H132" s="18" t="n">
        <v>8</v>
      </c>
    </row>
    <row r="133" customFormat="false" ht="15" hidden="false" customHeight="true" outlineLevel="0" collapsed="false">
      <c r="A133" s="18" t="s">
        <v>184</v>
      </c>
      <c r="B133" s="19" t="n">
        <v>45360</v>
      </c>
      <c r="C133" s="18" t="s">
        <v>19</v>
      </c>
      <c r="D133" s="18" t="s">
        <v>91</v>
      </c>
      <c r="E133" s="18" t="s">
        <v>25</v>
      </c>
      <c r="F133" s="20" t="n">
        <v>34960</v>
      </c>
      <c r="G133" s="20" t="n">
        <v>11012.4</v>
      </c>
      <c r="H133" s="18" t="n">
        <v>8</v>
      </c>
    </row>
    <row r="134" customFormat="false" ht="15" hidden="false" customHeight="true" outlineLevel="0" collapsed="false">
      <c r="A134" s="18" t="s">
        <v>185</v>
      </c>
      <c r="B134" s="19" t="n">
        <v>45414</v>
      </c>
      <c r="C134" s="18" t="s">
        <v>23</v>
      </c>
      <c r="D134" s="18" t="s">
        <v>88</v>
      </c>
      <c r="E134" s="18" t="s">
        <v>50</v>
      </c>
      <c r="F134" s="20" t="n">
        <v>1040</v>
      </c>
      <c r="G134" s="20" t="n">
        <v>217.36</v>
      </c>
      <c r="H134" s="18" t="n">
        <v>4</v>
      </c>
    </row>
    <row r="135" customFormat="false" ht="15" hidden="false" customHeight="true" outlineLevel="0" collapsed="false">
      <c r="A135" s="18" t="s">
        <v>186</v>
      </c>
      <c r="B135" s="19" t="n">
        <v>45586</v>
      </c>
      <c r="C135" s="18" t="s">
        <v>27</v>
      </c>
      <c r="D135" s="18" t="s">
        <v>88</v>
      </c>
      <c r="E135" s="18" t="s">
        <v>50</v>
      </c>
      <c r="F135" s="20" t="n">
        <v>352</v>
      </c>
      <c r="G135" s="20" t="n">
        <v>111.94</v>
      </c>
      <c r="H135" s="18" t="n">
        <v>4</v>
      </c>
    </row>
    <row r="136" customFormat="false" ht="15" hidden="false" customHeight="true" outlineLevel="0" collapsed="false">
      <c r="A136" s="18" t="s">
        <v>187</v>
      </c>
      <c r="B136" s="19" t="n">
        <v>45372</v>
      </c>
      <c r="C136" s="18" t="s">
        <v>19</v>
      </c>
      <c r="D136" s="18" t="s">
        <v>36</v>
      </c>
      <c r="E136" s="18" t="s">
        <v>25</v>
      </c>
      <c r="F136" s="20" t="n">
        <v>4888</v>
      </c>
      <c r="G136" s="20" t="n">
        <v>958.05</v>
      </c>
      <c r="H136" s="18" t="n">
        <v>2</v>
      </c>
    </row>
    <row r="137" customFormat="false" ht="15" hidden="false" customHeight="true" outlineLevel="0" collapsed="false">
      <c r="A137" s="18" t="s">
        <v>188</v>
      </c>
      <c r="B137" s="19" t="n">
        <v>45469</v>
      </c>
      <c r="C137" s="18" t="s">
        <v>39</v>
      </c>
      <c r="D137" s="18" t="s">
        <v>83</v>
      </c>
      <c r="E137" s="18" t="s">
        <v>21</v>
      </c>
      <c r="F137" s="20" t="n">
        <v>17392</v>
      </c>
      <c r="G137" s="20" t="n">
        <v>2156.61</v>
      </c>
      <c r="H137" s="18" t="n">
        <v>4</v>
      </c>
    </row>
    <row r="138" customFormat="false" ht="15" hidden="false" customHeight="true" outlineLevel="0" collapsed="false">
      <c r="A138" s="18" t="s">
        <v>189</v>
      </c>
      <c r="B138" s="19" t="n">
        <v>45532</v>
      </c>
      <c r="C138" s="18" t="s">
        <v>41</v>
      </c>
      <c r="D138" s="18" t="s">
        <v>75</v>
      </c>
      <c r="E138" s="18" t="s">
        <v>29</v>
      </c>
      <c r="F138" s="20" t="n">
        <v>16303</v>
      </c>
      <c r="G138" s="20" t="n">
        <v>2037.88</v>
      </c>
      <c r="H138" s="18" t="n">
        <v>7</v>
      </c>
    </row>
    <row r="139" customFormat="false" ht="15" hidden="false" customHeight="true" outlineLevel="0" collapsed="false">
      <c r="A139" s="18" t="s">
        <v>190</v>
      </c>
      <c r="B139" s="19" t="n">
        <v>45512</v>
      </c>
      <c r="C139" s="18" t="s">
        <v>39</v>
      </c>
      <c r="D139" s="18" t="s">
        <v>120</v>
      </c>
      <c r="E139" s="18" t="s">
        <v>29</v>
      </c>
      <c r="F139" s="20" t="n">
        <v>60011</v>
      </c>
      <c r="G139" s="20" t="n">
        <v>6301.15</v>
      </c>
      <c r="H139" s="18" t="n">
        <v>7</v>
      </c>
    </row>
    <row r="140" customFormat="false" ht="15" hidden="false" customHeight="true" outlineLevel="0" collapsed="false">
      <c r="A140" s="18" t="s">
        <v>191</v>
      </c>
      <c r="B140" s="19" t="n">
        <v>45572</v>
      </c>
      <c r="C140" s="18" t="s">
        <v>23</v>
      </c>
      <c r="D140" s="18" t="s">
        <v>20</v>
      </c>
      <c r="E140" s="18" t="s">
        <v>21</v>
      </c>
      <c r="F140" s="20" t="n">
        <v>117920</v>
      </c>
      <c r="G140" s="20" t="n">
        <v>16390.88</v>
      </c>
      <c r="H140" s="18" t="n">
        <v>10</v>
      </c>
    </row>
    <row r="141" customFormat="false" ht="15" hidden="false" customHeight="true" outlineLevel="0" collapsed="false">
      <c r="A141" s="18" t="s">
        <v>192</v>
      </c>
      <c r="B141" s="19" t="n">
        <v>45441</v>
      </c>
      <c r="C141" s="18" t="s">
        <v>41</v>
      </c>
      <c r="D141" s="18" t="s">
        <v>24</v>
      </c>
      <c r="E141" s="18" t="s">
        <v>25</v>
      </c>
      <c r="F141" s="20" t="n">
        <v>13846</v>
      </c>
      <c r="G141" s="20" t="n">
        <v>3461.5</v>
      </c>
      <c r="H141" s="18" t="n">
        <v>7</v>
      </c>
    </row>
    <row r="142" customFormat="false" ht="15" hidden="false" customHeight="true" outlineLevel="0" collapsed="false">
      <c r="A142" s="18" t="s">
        <v>193</v>
      </c>
      <c r="B142" s="19" t="n">
        <v>45577</v>
      </c>
      <c r="C142" s="18" t="s">
        <v>23</v>
      </c>
      <c r="D142" s="18" t="s">
        <v>91</v>
      </c>
      <c r="E142" s="18" t="s">
        <v>25</v>
      </c>
      <c r="F142" s="20" t="n">
        <v>11292</v>
      </c>
      <c r="G142" s="20" t="n">
        <v>3229.51</v>
      </c>
      <c r="H142" s="18" t="n">
        <v>3</v>
      </c>
    </row>
    <row r="143" customFormat="false" ht="15" hidden="false" customHeight="true" outlineLevel="0" collapsed="false">
      <c r="A143" s="18" t="s">
        <v>194</v>
      </c>
      <c r="B143" s="19" t="n">
        <v>45495</v>
      </c>
      <c r="C143" s="18" t="s">
        <v>27</v>
      </c>
      <c r="D143" s="18" t="s">
        <v>44</v>
      </c>
      <c r="E143" s="18" t="s">
        <v>32</v>
      </c>
      <c r="F143" s="20" t="n">
        <v>6030</v>
      </c>
      <c r="G143" s="20" t="n">
        <v>488.43</v>
      </c>
      <c r="H143" s="18" t="n">
        <v>5</v>
      </c>
    </row>
    <row r="144" customFormat="false" ht="15" hidden="false" customHeight="true" outlineLevel="0" collapsed="false">
      <c r="A144" s="18" t="s">
        <v>195</v>
      </c>
      <c r="B144" s="19" t="n">
        <v>45620</v>
      </c>
      <c r="C144" s="18" t="s">
        <v>23</v>
      </c>
      <c r="D144" s="18" t="s">
        <v>83</v>
      </c>
      <c r="E144" s="18" t="s">
        <v>21</v>
      </c>
      <c r="F144" s="20" t="n">
        <v>47492</v>
      </c>
      <c r="G144" s="20" t="n">
        <v>8263.61</v>
      </c>
      <c r="H144" s="18" t="n">
        <v>4</v>
      </c>
    </row>
    <row r="145" customFormat="false" ht="15" hidden="false" customHeight="true" outlineLevel="0" collapsed="false">
      <c r="A145" s="18" t="s">
        <v>196</v>
      </c>
      <c r="B145" s="19" t="n">
        <v>45326</v>
      </c>
      <c r="C145" s="18" t="s">
        <v>41</v>
      </c>
      <c r="D145" s="18" t="s">
        <v>88</v>
      </c>
      <c r="E145" s="18" t="s">
        <v>50</v>
      </c>
      <c r="F145" s="20" t="n">
        <v>2277</v>
      </c>
      <c r="G145" s="20" t="n">
        <v>705.87</v>
      </c>
      <c r="H145" s="18" t="n">
        <v>9</v>
      </c>
    </row>
    <row r="146" customFormat="false" ht="15" hidden="false" customHeight="true" outlineLevel="0" collapsed="false">
      <c r="A146" s="18" t="s">
        <v>197</v>
      </c>
      <c r="B146" s="19" t="n">
        <v>45350</v>
      </c>
      <c r="C146" s="18" t="s">
        <v>23</v>
      </c>
      <c r="D146" s="18" t="s">
        <v>28</v>
      </c>
      <c r="E146" s="18" t="s">
        <v>29</v>
      </c>
      <c r="F146" s="20" t="n">
        <v>19448</v>
      </c>
      <c r="G146" s="20" t="n">
        <v>2625.48</v>
      </c>
      <c r="H146" s="18" t="n">
        <v>4</v>
      </c>
    </row>
    <row r="147" customFormat="false" ht="15" hidden="false" customHeight="true" outlineLevel="0" collapsed="false">
      <c r="A147" s="18" t="s">
        <v>198</v>
      </c>
      <c r="B147" s="19" t="n">
        <v>45582</v>
      </c>
      <c r="C147" s="18" t="s">
        <v>23</v>
      </c>
      <c r="D147" s="18" t="s">
        <v>52</v>
      </c>
      <c r="E147" s="18" t="s">
        <v>32</v>
      </c>
      <c r="F147" s="20" t="n">
        <v>18786</v>
      </c>
      <c r="G147" s="20" t="n">
        <v>2348.25</v>
      </c>
      <c r="H147" s="18" t="n">
        <v>6</v>
      </c>
    </row>
    <row r="148" customFormat="false" ht="15" hidden="false" customHeight="true" outlineLevel="0" collapsed="false">
      <c r="A148" s="18" t="s">
        <v>199</v>
      </c>
      <c r="B148" s="19" t="n">
        <v>45434</v>
      </c>
      <c r="C148" s="18" t="s">
        <v>19</v>
      </c>
      <c r="D148" s="18" t="s">
        <v>75</v>
      </c>
      <c r="E148" s="18" t="s">
        <v>29</v>
      </c>
      <c r="F148" s="20" t="n">
        <v>21933</v>
      </c>
      <c r="G148" s="20" t="n">
        <v>3684.74</v>
      </c>
      <c r="H148" s="18" t="n">
        <v>9</v>
      </c>
    </row>
    <row r="149" customFormat="false" ht="15" hidden="false" customHeight="true" outlineLevel="0" collapsed="false">
      <c r="A149" s="18" t="s">
        <v>200</v>
      </c>
      <c r="B149" s="19" t="n">
        <v>45296</v>
      </c>
      <c r="C149" s="18" t="s">
        <v>23</v>
      </c>
      <c r="D149" s="18" t="s">
        <v>75</v>
      </c>
      <c r="E149" s="18" t="s">
        <v>29</v>
      </c>
      <c r="F149" s="20" t="n">
        <v>7806</v>
      </c>
      <c r="G149" s="20" t="n">
        <v>1053.81</v>
      </c>
      <c r="H149" s="18" t="n">
        <v>3</v>
      </c>
    </row>
    <row r="150" customFormat="false" ht="15" hidden="false" customHeight="true" outlineLevel="0" collapsed="false">
      <c r="A150" s="18" t="s">
        <v>201</v>
      </c>
      <c r="B150" s="19" t="n">
        <v>45319</v>
      </c>
      <c r="C150" s="18" t="s">
        <v>39</v>
      </c>
      <c r="D150" s="18" t="s">
        <v>62</v>
      </c>
      <c r="E150" s="18" t="s">
        <v>50</v>
      </c>
      <c r="F150" s="20" t="n">
        <v>1098</v>
      </c>
      <c r="G150" s="20" t="n">
        <v>387.59</v>
      </c>
      <c r="H150" s="18" t="n">
        <v>6</v>
      </c>
    </row>
    <row r="151" customFormat="false" ht="15" hidden="false" customHeight="true" outlineLevel="0" collapsed="false">
      <c r="A151" s="18" t="s">
        <v>202</v>
      </c>
      <c r="B151" s="19" t="n">
        <v>45556</v>
      </c>
      <c r="C151" s="18" t="s">
        <v>39</v>
      </c>
      <c r="D151" s="18" t="s">
        <v>120</v>
      </c>
      <c r="E151" s="18" t="s">
        <v>29</v>
      </c>
      <c r="F151" s="20" t="n">
        <v>51129</v>
      </c>
      <c r="G151" s="20" t="n">
        <v>5317.42</v>
      </c>
      <c r="H151" s="18" t="n">
        <v>3</v>
      </c>
    </row>
    <row r="152" customFormat="false" ht="15" hidden="false" customHeight="true" outlineLevel="0" collapsed="false">
      <c r="A152" s="18" t="s">
        <v>203</v>
      </c>
      <c r="B152" s="19" t="n">
        <v>45363</v>
      </c>
      <c r="C152" s="18" t="s">
        <v>41</v>
      </c>
      <c r="D152" s="18" t="s">
        <v>28</v>
      </c>
      <c r="E152" s="18" t="s">
        <v>29</v>
      </c>
      <c r="F152" s="20" t="n">
        <v>14634</v>
      </c>
      <c r="G152" s="20" t="n">
        <v>1609.74</v>
      </c>
      <c r="H152" s="18" t="n">
        <v>6</v>
      </c>
    </row>
    <row r="153" customFormat="false" ht="15" hidden="false" customHeight="true" outlineLevel="0" collapsed="false">
      <c r="A153" s="18" t="s">
        <v>204</v>
      </c>
      <c r="B153" s="19" t="n">
        <v>45568</v>
      </c>
      <c r="C153" s="18" t="s">
        <v>41</v>
      </c>
      <c r="D153" s="18" t="s">
        <v>93</v>
      </c>
      <c r="E153" s="18" t="s">
        <v>32</v>
      </c>
      <c r="F153" s="20" t="n">
        <v>15864</v>
      </c>
      <c r="G153" s="20" t="n">
        <v>1871.95</v>
      </c>
      <c r="H153" s="18" t="n">
        <v>3</v>
      </c>
    </row>
    <row r="154" customFormat="false" ht="15" hidden="false" customHeight="true" outlineLevel="0" collapsed="false">
      <c r="A154" s="18" t="s">
        <v>205</v>
      </c>
      <c r="B154" s="19" t="n">
        <v>45320</v>
      </c>
      <c r="C154" s="18" t="s">
        <v>41</v>
      </c>
      <c r="D154" s="18" t="s">
        <v>28</v>
      </c>
      <c r="E154" s="18" t="s">
        <v>29</v>
      </c>
      <c r="F154" s="20" t="n">
        <v>13473</v>
      </c>
      <c r="G154" s="20" t="n">
        <v>1562.87</v>
      </c>
      <c r="H154" s="18" t="n">
        <v>3</v>
      </c>
    </row>
    <row r="155" customFormat="false" ht="15" hidden="false" customHeight="true" outlineLevel="0" collapsed="false">
      <c r="A155" s="18" t="s">
        <v>206</v>
      </c>
      <c r="B155" s="19" t="n">
        <v>45339</v>
      </c>
      <c r="C155" s="18" t="s">
        <v>39</v>
      </c>
      <c r="D155" s="18" t="s">
        <v>42</v>
      </c>
      <c r="E155" s="18" t="s">
        <v>21</v>
      </c>
      <c r="F155" s="20" t="n">
        <v>124767</v>
      </c>
      <c r="G155" s="20" t="n">
        <v>15346.34</v>
      </c>
      <c r="H155" s="18" t="n">
        <v>9</v>
      </c>
    </row>
    <row r="156" customFormat="false" ht="15" hidden="false" customHeight="true" outlineLevel="0" collapsed="false">
      <c r="A156" s="18" t="s">
        <v>207</v>
      </c>
      <c r="B156" s="19" t="n">
        <v>45418</v>
      </c>
      <c r="C156" s="18" t="s">
        <v>39</v>
      </c>
      <c r="D156" s="18" t="s">
        <v>52</v>
      </c>
      <c r="E156" s="18" t="s">
        <v>32</v>
      </c>
      <c r="F156" s="20" t="n">
        <v>3177</v>
      </c>
      <c r="G156" s="20" t="n">
        <v>555.97</v>
      </c>
      <c r="H156" s="18" t="n">
        <v>1</v>
      </c>
    </row>
    <row r="157" customFormat="false" ht="15" hidden="false" customHeight="true" outlineLevel="0" collapsed="false">
      <c r="A157" s="18" t="s">
        <v>208</v>
      </c>
      <c r="B157" s="19" t="n">
        <v>45397</v>
      </c>
      <c r="C157" s="18" t="s">
        <v>19</v>
      </c>
      <c r="D157" s="18" t="s">
        <v>36</v>
      </c>
      <c r="E157" s="18" t="s">
        <v>25</v>
      </c>
      <c r="F157" s="20" t="n">
        <v>4666</v>
      </c>
      <c r="G157" s="20" t="n">
        <v>1446.46</v>
      </c>
      <c r="H157" s="18" t="n">
        <v>2</v>
      </c>
    </row>
    <row r="158" customFormat="false" ht="15" hidden="false" customHeight="true" outlineLevel="0" collapsed="false">
      <c r="A158" s="18" t="s">
        <v>209</v>
      </c>
      <c r="B158" s="19" t="n">
        <v>45627</v>
      </c>
      <c r="C158" s="18" t="s">
        <v>39</v>
      </c>
      <c r="D158" s="18" t="s">
        <v>106</v>
      </c>
      <c r="E158" s="18" t="s">
        <v>25</v>
      </c>
      <c r="F158" s="20" t="n">
        <v>14844</v>
      </c>
      <c r="G158" s="20" t="n">
        <v>3295.37</v>
      </c>
      <c r="H158" s="18" t="n">
        <v>6</v>
      </c>
    </row>
    <row r="159" customFormat="false" ht="15" hidden="false" customHeight="true" outlineLevel="0" collapsed="false">
      <c r="A159" s="18" t="s">
        <v>210</v>
      </c>
      <c r="B159" s="19" t="n">
        <v>45649</v>
      </c>
      <c r="C159" s="18" t="s">
        <v>23</v>
      </c>
      <c r="D159" s="18" t="s">
        <v>49</v>
      </c>
      <c r="E159" s="18" t="s">
        <v>50</v>
      </c>
      <c r="F159" s="20" t="n">
        <v>324</v>
      </c>
      <c r="G159" s="20" t="n">
        <v>115.99</v>
      </c>
      <c r="H159" s="18" t="n">
        <v>4</v>
      </c>
    </row>
    <row r="160" customFormat="false" ht="15" hidden="false" customHeight="true" outlineLevel="0" collapsed="false">
      <c r="A160" s="18" t="s">
        <v>211</v>
      </c>
      <c r="B160" s="19" t="n">
        <v>45471</v>
      </c>
      <c r="C160" s="18" t="s">
        <v>19</v>
      </c>
      <c r="D160" s="18" t="s">
        <v>24</v>
      </c>
      <c r="E160" s="18" t="s">
        <v>25</v>
      </c>
      <c r="F160" s="20" t="n">
        <v>4224</v>
      </c>
      <c r="G160" s="20" t="n">
        <v>654.72</v>
      </c>
      <c r="H160" s="18" t="n">
        <v>4</v>
      </c>
    </row>
    <row r="161" customFormat="false" ht="15" hidden="false" customHeight="true" outlineLevel="0" collapsed="false">
      <c r="A161" s="18" t="s">
        <v>161</v>
      </c>
      <c r="B161" s="19" t="n">
        <v>45638</v>
      </c>
      <c r="C161" s="18" t="s">
        <v>39</v>
      </c>
      <c r="D161" s="18" t="s">
        <v>83</v>
      </c>
      <c r="E161" s="18" t="s">
        <v>21</v>
      </c>
      <c r="F161" s="20" t="n">
        <v>76363</v>
      </c>
      <c r="G161" s="20" t="n">
        <v>9392.65</v>
      </c>
      <c r="H161" s="18" t="n">
        <v>7</v>
      </c>
    </row>
    <row r="162" customFormat="false" ht="15" hidden="false" customHeight="true" outlineLevel="0" collapsed="false">
      <c r="A162" s="18" t="s">
        <v>212</v>
      </c>
      <c r="B162" s="19" t="n">
        <v>45604</v>
      </c>
      <c r="C162" s="18" t="s">
        <v>39</v>
      </c>
      <c r="D162" s="18" t="s">
        <v>75</v>
      </c>
      <c r="E162" s="18" t="s">
        <v>29</v>
      </c>
      <c r="F162" s="20" t="n">
        <v>5402</v>
      </c>
      <c r="G162" s="20" t="n">
        <v>1031.78</v>
      </c>
      <c r="H162" s="18" t="n">
        <v>2</v>
      </c>
    </row>
    <row r="163" customFormat="false" ht="15" hidden="false" customHeight="true" outlineLevel="0" collapsed="false">
      <c r="A163" s="18" t="s">
        <v>213</v>
      </c>
      <c r="B163" s="19" t="n">
        <v>45377</v>
      </c>
      <c r="C163" s="18" t="s">
        <v>41</v>
      </c>
      <c r="D163" s="18" t="s">
        <v>93</v>
      </c>
      <c r="E163" s="18" t="s">
        <v>32</v>
      </c>
      <c r="F163" s="20" t="n">
        <v>4111</v>
      </c>
      <c r="G163" s="20" t="n">
        <v>369.99</v>
      </c>
      <c r="H163" s="18" t="n">
        <v>1</v>
      </c>
    </row>
    <row r="164" customFormat="false" ht="15" hidden="false" customHeight="true" outlineLevel="0" collapsed="false">
      <c r="A164" s="18" t="s">
        <v>214</v>
      </c>
      <c r="B164" s="19" t="n">
        <v>45359</v>
      </c>
      <c r="C164" s="18" t="s">
        <v>41</v>
      </c>
      <c r="D164" s="18" t="s">
        <v>86</v>
      </c>
      <c r="E164" s="18" t="s">
        <v>21</v>
      </c>
      <c r="F164" s="20" t="n">
        <v>253380</v>
      </c>
      <c r="G164" s="20" t="n">
        <v>36233.34</v>
      </c>
      <c r="H164" s="18" t="n">
        <v>6</v>
      </c>
    </row>
    <row r="165" customFormat="false" ht="15" hidden="false" customHeight="true" outlineLevel="0" collapsed="false">
      <c r="A165" s="18" t="s">
        <v>215</v>
      </c>
      <c r="B165" s="19" t="n">
        <v>45485</v>
      </c>
      <c r="C165" s="18" t="s">
        <v>23</v>
      </c>
      <c r="D165" s="18" t="s">
        <v>120</v>
      </c>
      <c r="E165" s="18" t="s">
        <v>29</v>
      </c>
      <c r="F165" s="20" t="n">
        <v>7192</v>
      </c>
      <c r="G165" s="20" t="n">
        <v>855.85</v>
      </c>
      <c r="H165" s="18" t="n">
        <v>1</v>
      </c>
    </row>
    <row r="166" customFormat="false" ht="15" hidden="false" customHeight="true" outlineLevel="0" collapsed="false">
      <c r="A166" s="18" t="s">
        <v>216</v>
      </c>
      <c r="B166" s="19" t="n">
        <v>45493</v>
      </c>
      <c r="C166" s="18" t="s">
        <v>41</v>
      </c>
      <c r="D166" s="18" t="s">
        <v>46</v>
      </c>
      <c r="E166" s="18" t="s">
        <v>29</v>
      </c>
      <c r="F166" s="20" t="n">
        <v>45200</v>
      </c>
      <c r="G166" s="20" t="n">
        <v>6463.6</v>
      </c>
      <c r="H166" s="18" t="n">
        <v>10</v>
      </c>
    </row>
    <row r="167" customFormat="false" ht="15" hidden="false" customHeight="true" outlineLevel="0" collapsed="false">
      <c r="A167" s="18" t="s">
        <v>217</v>
      </c>
      <c r="B167" s="19" t="n">
        <v>45424</v>
      </c>
      <c r="C167" s="18" t="s">
        <v>39</v>
      </c>
      <c r="D167" s="18" t="s">
        <v>58</v>
      </c>
      <c r="E167" s="18" t="s">
        <v>50</v>
      </c>
      <c r="F167" s="20" t="n">
        <v>375</v>
      </c>
      <c r="G167" s="20" t="n">
        <v>133.5</v>
      </c>
      <c r="H167" s="18" t="n">
        <v>3</v>
      </c>
    </row>
    <row r="168" customFormat="false" ht="15" hidden="false" customHeight="true" outlineLevel="0" collapsed="false">
      <c r="A168" s="18" t="s">
        <v>218</v>
      </c>
      <c r="B168" s="19" t="n">
        <v>45295</v>
      </c>
      <c r="C168" s="18" t="s">
        <v>39</v>
      </c>
      <c r="D168" s="18" t="s">
        <v>106</v>
      </c>
      <c r="E168" s="18" t="s">
        <v>25</v>
      </c>
      <c r="F168" s="20" t="n">
        <v>15351</v>
      </c>
      <c r="G168" s="20" t="n">
        <v>3162.31</v>
      </c>
      <c r="H168" s="18" t="n">
        <v>7</v>
      </c>
    </row>
    <row r="169" customFormat="false" ht="15" hidden="false" customHeight="true" outlineLevel="0" collapsed="false">
      <c r="A169" s="18" t="s">
        <v>219</v>
      </c>
      <c r="B169" s="19" t="n">
        <v>45405</v>
      </c>
      <c r="C169" s="18" t="s">
        <v>39</v>
      </c>
      <c r="D169" s="18" t="s">
        <v>93</v>
      </c>
      <c r="E169" s="18" t="s">
        <v>32</v>
      </c>
      <c r="F169" s="20" t="n">
        <v>32072</v>
      </c>
      <c r="G169" s="20" t="n">
        <v>4009</v>
      </c>
      <c r="H169" s="18" t="n">
        <v>8</v>
      </c>
    </row>
    <row r="170" customFormat="false" ht="15" hidden="false" customHeight="true" outlineLevel="0" collapsed="false">
      <c r="A170" s="18" t="s">
        <v>220</v>
      </c>
      <c r="B170" s="19" t="n">
        <v>45494</v>
      </c>
      <c r="C170" s="18" t="s">
        <v>41</v>
      </c>
      <c r="D170" s="18" t="s">
        <v>83</v>
      </c>
      <c r="E170" s="18" t="s">
        <v>21</v>
      </c>
      <c r="F170" s="20" t="n">
        <v>40716</v>
      </c>
      <c r="G170" s="20" t="n">
        <v>7288.16</v>
      </c>
      <c r="H170" s="18" t="n">
        <v>9</v>
      </c>
    </row>
    <row r="171" customFormat="false" ht="15" hidden="false" customHeight="true" outlineLevel="0" collapsed="false">
      <c r="A171" s="18" t="s">
        <v>221</v>
      </c>
      <c r="B171" s="19" t="n">
        <v>45581</v>
      </c>
      <c r="C171" s="18" t="s">
        <v>27</v>
      </c>
      <c r="D171" s="18" t="s">
        <v>55</v>
      </c>
      <c r="E171" s="18" t="s">
        <v>32</v>
      </c>
      <c r="F171" s="20" t="n">
        <v>42027</v>
      </c>
      <c r="G171" s="20" t="n">
        <v>3740.4</v>
      </c>
      <c r="H171" s="18" t="n">
        <v>3</v>
      </c>
    </row>
    <row r="172" customFormat="false" ht="15" hidden="false" customHeight="true" outlineLevel="0" collapsed="false">
      <c r="A172" s="18" t="s">
        <v>222</v>
      </c>
      <c r="B172" s="19" t="n">
        <v>45543</v>
      </c>
      <c r="C172" s="18" t="s">
        <v>41</v>
      </c>
      <c r="D172" s="18" t="s">
        <v>31</v>
      </c>
      <c r="E172" s="18" t="s">
        <v>32</v>
      </c>
      <c r="F172" s="20" t="n">
        <v>536340</v>
      </c>
      <c r="G172" s="20" t="n">
        <v>68115.18</v>
      </c>
      <c r="H172" s="18" t="n">
        <v>10</v>
      </c>
    </row>
    <row r="173" customFormat="false" ht="15" hidden="false" customHeight="true" outlineLevel="0" collapsed="false">
      <c r="A173" s="18" t="s">
        <v>223</v>
      </c>
      <c r="B173" s="19" t="n">
        <v>45607</v>
      </c>
      <c r="C173" s="18" t="s">
        <v>27</v>
      </c>
      <c r="D173" s="18" t="s">
        <v>34</v>
      </c>
      <c r="E173" s="18" t="s">
        <v>25</v>
      </c>
      <c r="F173" s="20" t="n">
        <v>2656</v>
      </c>
      <c r="G173" s="20" t="n">
        <v>401.06</v>
      </c>
      <c r="H173" s="18" t="n">
        <v>8</v>
      </c>
    </row>
    <row r="174" customFormat="false" ht="15" hidden="false" customHeight="true" outlineLevel="0" collapsed="false">
      <c r="A174" s="18" t="s">
        <v>224</v>
      </c>
      <c r="B174" s="19" t="n">
        <v>45509</v>
      </c>
      <c r="C174" s="18" t="s">
        <v>23</v>
      </c>
      <c r="D174" s="18" t="s">
        <v>70</v>
      </c>
      <c r="E174" s="18" t="s">
        <v>21</v>
      </c>
      <c r="F174" s="20" t="n">
        <v>198186</v>
      </c>
      <c r="G174" s="20" t="n">
        <v>35475.29</v>
      </c>
      <c r="H174" s="18" t="n">
        <v>6</v>
      </c>
    </row>
    <row r="175" customFormat="false" ht="15" hidden="false" customHeight="true" outlineLevel="0" collapsed="false">
      <c r="A175" s="18" t="s">
        <v>225</v>
      </c>
      <c r="B175" s="19" t="n">
        <v>45361</v>
      </c>
      <c r="C175" s="18" t="s">
        <v>39</v>
      </c>
      <c r="D175" s="18" t="s">
        <v>91</v>
      </c>
      <c r="E175" s="18" t="s">
        <v>25</v>
      </c>
      <c r="F175" s="20" t="n">
        <v>31101</v>
      </c>
      <c r="G175" s="20" t="n">
        <v>8646.08</v>
      </c>
      <c r="H175" s="18" t="n">
        <v>7</v>
      </c>
    </row>
    <row r="176" customFormat="false" ht="15" hidden="false" customHeight="true" outlineLevel="0" collapsed="false">
      <c r="A176" s="18" t="s">
        <v>226</v>
      </c>
      <c r="B176" s="19" t="n">
        <v>45506</v>
      </c>
      <c r="C176" s="18" t="s">
        <v>23</v>
      </c>
      <c r="D176" s="18" t="s">
        <v>46</v>
      </c>
      <c r="E176" s="18" t="s">
        <v>29</v>
      </c>
      <c r="F176" s="20" t="n">
        <v>78147</v>
      </c>
      <c r="G176" s="20" t="n">
        <v>15082.37</v>
      </c>
      <c r="H176" s="18" t="n">
        <v>9</v>
      </c>
    </row>
    <row r="177" customFormat="false" ht="15" hidden="false" customHeight="true" outlineLevel="0" collapsed="false">
      <c r="A177" s="18" t="s">
        <v>227</v>
      </c>
      <c r="B177" s="19" t="n">
        <v>45578</v>
      </c>
      <c r="C177" s="18" t="s">
        <v>19</v>
      </c>
      <c r="D177" s="18" t="s">
        <v>86</v>
      </c>
      <c r="E177" s="18" t="s">
        <v>21</v>
      </c>
      <c r="F177" s="20" t="n">
        <v>105166</v>
      </c>
      <c r="G177" s="20" t="n">
        <v>21874.53</v>
      </c>
      <c r="H177" s="18" t="n">
        <v>2</v>
      </c>
    </row>
    <row r="178" customFormat="false" ht="15" hidden="false" customHeight="true" outlineLevel="0" collapsed="false">
      <c r="A178" s="18" t="s">
        <v>228</v>
      </c>
      <c r="B178" s="19" t="n">
        <v>45647</v>
      </c>
      <c r="C178" s="18" t="s">
        <v>39</v>
      </c>
      <c r="D178" s="18" t="s">
        <v>72</v>
      </c>
      <c r="E178" s="18" t="s">
        <v>29</v>
      </c>
      <c r="F178" s="20" t="n">
        <v>39066</v>
      </c>
      <c r="G178" s="20" t="n">
        <v>5039.51</v>
      </c>
      <c r="H178" s="18" t="n">
        <v>3</v>
      </c>
    </row>
    <row r="179" customFormat="false" ht="15" hidden="false" customHeight="true" outlineLevel="0" collapsed="false">
      <c r="A179" s="18" t="s">
        <v>229</v>
      </c>
      <c r="B179" s="19" t="n">
        <v>45602</v>
      </c>
      <c r="C179" s="18" t="s">
        <v>19</v>
      </c>
      <c r="D179" s="18" t="s">
        <v>49</v>
      </c>
      <c r="E179" s="18" t="s">
        <v>50</v>
      </c>
      <c r="F179" s="20" t="n">
        <v>720</v>
      </c>
      <c r="G179" s="20" t="n">
        <v>252.72</v>
      </c>
      <c r="H179" s="18" t="n">
        <v>9</v>
      </c>
    </row>
    <row r="180" customFormat="false" ht="15" hidden="false" customHeight="true" outlineLevel="0" collapsed="false">
      <c r="A180" s="18" t="s">
        <v>230</v>
      </c>
      <c r="B180" s="19" t="n">
        <v>45292</v>
      </c>
      <c r="C180" s="18" t="s">
        <v>19</v>
      </c>
      <c r="D180" s="18" t="s">
        <v>86</v>
      </c>
      <c r="E180" s="18" t="s">
        <v>21</v>
      </c>
      <c r="F180" s="20" t="n">
        <v>172692</v>
      </c>
      <c r="G180" s="20" t="n">
        <v>38337.62</v>
      </c>
      <c r="H180" s="18" t="n">
        <v>4</v>
      </c>
    </row>
    <row r="181" customFormat="false" ht="15" hidden="false" customHeight="true" outlineLevel="0" collapsed="false">
      <c r="A181" s="18" t="s">
        <v>231</v>
      </c>
      <c r="B181" s="19" t="n">
        <v>45461</v>
      </c>
      <c r="C181" s="18" t="s">
        <v>39</v>
      </c>
      <c r="D181" s="18" t="s">
        <v>20</v>
      </c>
      <c r="E181" s="18" t="s">
        <v>21</v>
      </c>
      <c r="F181" s="20" t="n">
        <v>100954</v>
      </c>
      <c r="G181" s="20" t="n">
        <v>19383.17</v>
      </c>
      <c r="H181" s="18" t="n">
        <v>7</v>
      </c>
    </row>
    <row r="182" customFormat="false" ht="15" hidden="false" customHeight="true" outlineLevel="0" collapsed="false">
      <c r="A182" s="18" t="s">
        <v>232</v>
      </c>
      <c r="B182" s="19" t="n">
        <v>45630</v>
      </c>
      <c r="C182" s="18" t="s">
        <v>19</v>
      </c>
      <c r="D182" s="18" t="s">
        <v>55</v>
      </c>
      <c r="E182" s="18" t="s">
        <v>32</v>
      </c>
      <c r="F182" s="20" t="n">
        <v>309258</v>
      </c>
      <c r="G182" s="20" t="n">
        <v>25049.9</v>
      </c>
      <c r="H182" s="18" t="n">
        <v>9</v>
      </c>
    </row>
    <row r="183" customFormat="false" ht="15" hidden="false" customHeight="true" outlineLevel="0" collapsed="false">
      <c r="A183" s="18" t="s">
        <v>233</v>
      </c>
      <c r="B183" s="19" t="n">
        <v>45401</v>
      </c>
      <c r="C183" s="18" t="s">
        <v>39</v>
      </c>
      <c r="D183" s="18" t="s">
        <v>49</v>
      </c>
      <c r="E183" s="18" t="s">
        <v>50</v>
      </c>
      <c r="F183" s="20" t="n">
        <v>760</v>
      </c>
      <c r="G183" s="20" t="n">
        <v>282.72</v>
      </c>
      <c r="H183" s="18" t="n">
        <v>10</v>
      </c>
    </row>
    <row r="184" customFormat="false" ht="15" hidden="false" customHeight="true" outlineLevel="0" collapsed="false">
      <c r="A184" s="18" t="s">
        <v>234</v>
      </c>
      <c r="B184" s="19" t="n">
        <v>45493</v>
      </c>
      <c r="C184" s="18" t="s">
        <v>23</v>
      </c>
      <c r="D184" s="18" t="s">
        <v>62</v>
      </c>
      <c r="E184" s="18" t="s">
        <v>50</v>
      </c>
      <c r="F184" s="20" t="n">
        <v>380</v>
      </c>
      <c r="G184" s="20" t="n">
        <v>120.46</v>
      </c>
      <c r="H184" s="18" t="n">
        <v>4</v>
      </c>
    </row>
    <row r="185" customFormat="false" ht="15" hidden="false" customHeight="true" outlineLevel="0" collapsed="false">
      <c r="A185" s="18" t="s">
        <v>235</v>
      </c>
      <c r="B185" s="19" t="n">
        <v>45447</v>
      </c>
      <c r="C185" s="18" t="s">
        <v>23</v>
      </c>
      <c r="D185" s="18" t="s">
        <v>42</v>
      </c>
      <c r="E185" s="18" t="s">
        <v>21</v>
      </c>
      <c r="F185" s="20" t="n">
        <v>80264</v>
      </c>
      <c r="G185" s="20" t="n">
        <v>15812.01</v>
      </c>
      <c r="H185" s="18" t="n">
        <v>8</v>
      </c>
    </row>
    <row r="186" customFormat="false" ht="15" hidden="false" customHeight="true" outlineLevel="0" collapsed="false">
      <c r="A186" s="18" t="s">
        <v>236</v>
      </c>
      <c r="B186" s="19" t="n">
        <v>45520</v>
      </c>
      <c r="C186" s="18" t="s">
        <v>23</v>
      </c>
      <c r="D186" s="18" t="s">
        <v>96</v>
      </c>
      <c r="E186" s="18" t="s">
        <v>50</v>
      </c>
      <c r="F186" s="20" t="n">
        <v>402</v>
      </c>
      <c r="G186" s="20" t="n">
        <v>124.62</v>
      </c>
      <c r="H186" s="18" t="n">
        <v>6</v>
      </c>
    </row>
    <row r="187" customFormat="false" ht="15" hidden="false" customHeight="true" outlineLevel="0" collapsed="false">
      <c r="A187" s="18" t="s">
        <v>237</v>
      </c>
      <c r="B187" s="19" t="n">
        <v>45555</v>
      </c>
      <c r="C187" s="18" t="s">
        <v>23</v>
      </c>
      <c r="D187" s="18" t="s">
        <v>70</v>
      </c>
      <c r="E187" s="18" t="s">
        <v>21</v>
      </c>
      <c r="F187" s="20" t="n">
        <v>73636</v>
      </c>
      <c r="G187" s="20" t="n">
        <v>17967.18</v>
      </c>
      <c r="H187" s="18" t="n">
        <v>2</v>
      </c>
    </row>
    <row r="188" customFormat="false" ht="15" hidden="false" customHeight="true" outlineLevel="0" collapsed="false">
      <c r="A188" s="18" t="s">
        <v>238</v>
      </c>
      <c r="B188" s="19" t="n">
        <v>45372</v>
      </c>
      <c r="C188" s="18" t="s">
        <v>39</v>
      </c>
      <c r="D188" s="18" t="s">
        <v>24</v>
      </c>
      <c r="E188" s="18" t="s">
        <v>25</v>
      </c>
      <c r="F188" s="20" t="n">
        <v>9846</v>
      </c>
      <c r="G188" s="20" t="n">
        <v>1919.97</v>
      </c>
      <c r="H188" s="18" t="n">
        <v>6</v>
      </c>
    </row>
    <row r="189" customFormat="false" ht="15" hidden="false" customHeight="true" outlineLevel="0" collapsed="false">
      <c r="A189" s="18" t="s">
        <v>239</v>
      </c>
      <c r="B189" s="19" t="n">
        <v>45449</v>
      </c>
      <c r="C189" s="18" t="s">
        <v>41</v>
      </c>
      <c r="D189" s="18" t="s">
        <v>20</v>
      </c>
      <c r="E189" s="18" t="s">
        <v>21</v>
      </c>
      <c r="F189" s="20" t="n">
        <v>62118</v>
      </c>
      <c r="G189" s="20" t="n">
        <v>10870.65</v>
      </c>
      <c r="H189" s="18" t="n">
        <v>9</v>
      </c>
    </row>
    <row r="190" customFormat="false" ht="15" hidden="false" customHeight="true" outlineLevel="0" collapsed="false">
      <c r="A190" s="18" t="s">
        <v>240</v>
      </c>
      <c r="B190" s="19" t="n">
        <v>45369</v>
      </c>
      <c r="C190" s="18" t="s">
        <v>41</v>
      </c>
      <c r="D190" s="18" t="s">
        <v>49</v>
      </c>
      <c r="E190" s="18" t="s">
        <v>50</v>
      </c>
      <c r="F190" s="20" t="n">
        <v>49</v>
      </c>
      <c r="G190" s="20" t="n">
        <v>15.09</v>
      </c>
      <c r="H190" s="18" t="n">
        <v>1</v>
      </c>
    </row>
    <row r="191" customFormat="false" ht="15" hidden="false" customHeight="true" outlineLevel="0" collapsed="false">
      <c r="A191" s="18" t="s">
        <v>241</v>
      </c>
      <c r="B191" s="19" t="n">
        <v>45435</v>
      </c>
      <c r="C191" s="18" t="s">
        <v>41</v>
      </c>
      <c r="D191" s="18" t="s">
        <v>24</v>
      </c>
      <c r="E191" s="18" t="s">
        <v>25</v>
      </c>
      <c r="F191" s="20" t="n">
        <v>13472</v>
      </c>
      <c r="G191" s="20" t="n">
        <v>2977.31</v>
      </c>
      <c r="H191" s="18" t="n">
        <v>8</v>
      </c>
    </row>
    <row r="192" customFormat="false" ht="15" hidden="false" customHeight="true" outlineLevel="0" collapsed="false">
      <c r="A192" s="18" t="s">
        <v>242</v>
      </c>
      <c r="B192" s="19" t="n">
        <v>45643</v>
      </c>
      <c r="C192" s="18" t="s">
        <v>19</v>
      </c>
      <c r="D192" s="18" t="s">
        <v>34</v>
      </c>
      <c r="E192" s="18" t="s">
        <v>25</v>
      </c>
      <c r="F192" s="20" t="n">
        <v>1992</v>
      </c>
      <c r="G192" s="20" t="n">
        <v>499.99</v>
      </c>
      <c r="H192" s="18" t="n">
        <v>3</v>
      </c>
    </row>
    <row r="193" customFormat="false" ht="15" hidden="false" customHeight="true" outlineLevel="0" collapsed="false">
      <c r="A193" s="18" t="s">
        <v>243</v>
      </c>
      <c r="B193" s="19" t="n">
        <v>45404</v>
      </c>
      <c r="C193" s="18" t="s">
        <v>19</v>
      </c>
      <c r="D193" s="18" t="s">
        <v>36</v>
      </c>
      <c r="E193" s="18" t="s">
        <v>25</v>
      </c>
      <c r="F193" s="20" t="n">
        <v>3376</v>
      </c>
      <c r="G193" s="20" t="n">
        <v>1060.06</v>
      </c>
      <c r="H193" s="18" t="n">
        <v>1</v>
      </c>
    </row>
    <row r="194" customFormat="false" ht="15" hidden="false" customHeight="true" outlineLevel="0" collapsed="false">
      <c r="A194" s="18" t="s">
        <v>244</v>
      </c>
      <c r="B194" s="19" t="n">
        <v>45483</v>
      </c>
      <c r="C194" s="18" t="s">
        <v>27</v>
      </c>
      <c r="D194" s="18" t="s">
        <v>93</v>
      </c>
      <c r="E194" s="18" t="s">
        <v>32</v>
      </c>
      <c r="F194" s="20" t="n">
        <v>40808</v>
      </c>
      <c r="G194" s="20" t="n">
        <v>4937.77</v>
      </c>
      <c r="H194" s="18" t="n">
        <v>4</v>
      </c>
    </row>
    <row r="195" customFormat="false" ht="15" hidden="false" customHeight="true" outlineLevel="0" collapsed="false">
      <c r="A195" s="18" t="s">
        <v>245</v>
      </c>
      <c r="B195" s="19" t="n">
        <v>45593</v>
      </c>
      <c r="C195" s="18" t="s">
        <v>19</v>
      </c>
      <c r="D195" s="18" t="s">
        <v>31</v>
      </c>
      <c r="E195" s="18" t="s">
        <v>32</v>
      </c>
      <c r="F195" s="20" t="n">
        <v>157173</v>
      </c>
      <c r="G195" s="20" t="n">
        <v>13359.71</v>
      </c>
      <c r="H195" s="18" t="n">
        <v>3</v>
      </c>
    </row>
    <row r="196" customFormat="false" ht="15" hidden="false" customHeight="true" outlineLevel="0" collapsed="false">
      <c r="A196" s="18" t="s">
        <v>246</v>
      </c>
      <c r="B196" s="19" t="n">
        <v>45590</v>
      </c>
      <c r="C196" s="18" t="s">
        <v>39</v>
      </c>
      <c r="D196" s="18" t="s">
        <v>58</v>
      </c>
      <c r="E196" s="18" t="s">
        <v>50</v>
      </c>
      <c r="F196" s="20" t="n">
        <v>565</v>
      </c>
      <c r="G196" s="20" t="n">
        <v>192.1</v>
      </c>
      <c r="H196" s="18" t="n">
        <v>5</v>
      </c>
    </row>
    <row r="197" customFormat="false" ht="15" hidden="false" customHeight="true" outlineLevel="0" collapsed="false">
      <c r="A197" s="18" t="s">
        <v>247</v>
      </c>
      <c r="B197" s="19" t="n">
        <v>45392</v>
      </c>
      <c r="C197" s="18" t="s">
        <v>27</v>
      </c>
      <c r="D197" s="18" t="s">
        <v>52</v>
      </c>
      <c r="E197" s="18" t="s">
        <v>32</v>
      </c>
      <c r="F197" s="20" t="n">
        <v>9885</v>
      </c>
      <c r="G197" s="20" t="n">
        <v>800.69</v>
      </c>
      <c r="H197" s="18" t="n">
        <v>3</v>
      </c>
    </row>
    <row r="198" customFormat="false" ht="15" hidden="false" customHeight="true" outlineLevel="0" collapsed="false">
      <c r="A198" s="18" t="s">
        <v>248</v>
      </c>
      <c r="B198" s="19" t="n">
        <v>45314</v>
      </c>
      <c r="C198" s="18" t="s">
        <v>19</v>
      </c>
      <c r="D198" s="18" t="s">
        <v>62</v>
      </c>
      <c r="E198" s="18" t="s">
        <v>50</v>
      </c>
      <c r="F198" s="20" t="n">
        <v>856</v>
      </c>
      <c r="G198" s="20" t="n">
        <v>209.72</v>
      </c>
      <c r="H198" s="18" t="n">
        <v>8</v>
      </c>
    </row>
    <row r="199" customFormat="false" ht="15" hidden="false" customHeight="true" outlineLevel="0" collapsed="false">
      <c r="A199" s="18" t="s">
        <v>249</v>
      </c>
      <c r="B199" s="19" t="n">
        <v>45526</v>
      </c>
      <c r="C199" s="18" t="s">
        <v>41</v>
      </c>
      <c r="D199" s="18" t="s">
        <v>52</v>
      </c>
      <c r="E199" s="18" t="s">
        <v>32</v>
      </c>
      <c r="F199" s="20" t="n">
        <v>45504</v>
      </c>
      <c r="G199" s="20" t="n">
        <v>6097.54</v>
      </c>
      <c r="H199" s="18" t="n">
        <v>8</v>
      </c>
    </row>
    <row r="200" customFormat="false" ht="15" hidden="false" customHeight="true" outlineLevel="0" collapsed="false">
      <c r="A200" s="18" t="s">
        <v>250</v>
      </c>
      <c r="B200" s="19" t="n">
        <v>45550</v>
      </c>
      <c r="C200" s="18" t="s">
        <v>27</v>
      </c>
      <c r="D200" s="18" t="s">
        <v>72</v>
      </c>
      <c r="E200" s="18" t="s">
        <v>29</v>
      </c>
      <c r="F200" s="20" t="n">
        <v>60856</v>
      </c>
      <c r="G200" s="20" t="n">
        <v>10588.94</v>
      </c>
      <c r="H200" s="18" t="n">
        <v>8</v>
      </c>
    </row>
    <row r="201" customFormat="false" ht="15" hidden="false" customHeight="true" outlineLevel="0" collapsed="false">
      <c r="A201" s="18" t="s">
        <v>251</v>
      </c>
      <c r="B201" s="19" t="n">
        <v>45606</v>
      </c>
      <c r="C201" s="18" t="s">
        <v>41</v>
      </c>
      <c r="D201" s="18" t="s">
        <v>91</v>
      </c>
      <c r="E201" s="18" t="s">
        <v>25</v>
      </c>
      <c r="F201" s="20" t="n">
        <v>21915</v>
      </c>
      <c r="G201" s="20" t="n">
        <v>5303.43</v>
      </c>
      <c r="H201" s="18" t="n">
        <v>9</v>
      </c>
    </row>
    <row r="202" customFormat="false" ht="15" hidden="false" customHeight="true" outlineLevel="0" collapsed="false">
      <c r="A202" s="18" t="s">
        <v>252</v>
      </c>
      <c r="B202" s="19" t="n">
        <v>45634</v>
      </c>
      <c r="C202" s="18" t="s">
        <v>41</v>
      </c>
      <c r="D202" s="18" t="s">
        <v>44</v>
      </c>
      <c r="E202" s="18" t="s">
        <v>32</v>
      </c>
      <c r="F202" s="20" t="n">
        <v>14433</v>
      </c>
      <c r="G202" s="20" t="n">
        <v>1616.5</v>
      </c>
      <c r="H202" s="18" t="n">
        <v>3</v>
      </c>
    </row>
    <row r="203" customFormat="false" ht="15" hidden="false" customHeight="true" outlineLevel="0" collapsed="false">
      <c r="A203" s="18" t="s">
        <v>253</v>
      </c>
      <c r="B203" s="19" t="n">
        <v>45345</v>
      </c>
      <c r="C203" s="18" t="s">
        <v>39</v>
      </c>
      <c r="D203" s="18" t="s">
        <v>83</v>
      </c>
      <c r="E203" s="18" t="s">
        <v>21</v>
      </c>
      <c r="F203" s="20" t="n">
        <v>8506</v>
      </c>
      <c r="G203" s="20" t="n">
        <v>1845.8</v>
      </c>
      <c r="H203" s="18" t="n">
        <v>2</v>
      </c>
    </row>
    <row r="204" customFormat="false" ht="15" hidden="false" customHeight="true" outlineLevel="0" collapsed="false">
      <c r="A204" s="18" t="s">
        <v>254</v>
      </c>
      <c r="B204" s="19" t="n">
        <v>45305</v>
      </c>
      <c r="C204" s="18" t="s">
        <v>39</v>
      </c>
      <c r="D204" s="18" t="s">
        <v>96</v>
      </c>
      <c r="E204" s="18" t="s">
        <v>50</v>
      </c>
      <c r="F204" s="20" t="n">
        <v>666</v>
      </c>
      <c r="G204" s="20" t="n">
        <v>255.08</v>
      </c>
      <c r="H204" s="18" t="n">
        <v>9</v>
      </c>
    </row>
    <row r="205" customFormat="false" ht="15" hidden="false" customHeight="true" outlineLevel="0" collapsed="false">
      <c r="A205" s="18" t="s">
        <v>255</v>
      </c>
      <c r="B205" s="19" t="n">
        <v>45625</v>
      </c>
      <c r="C205" s="18" t="s">
        <v>41</v>
      </c>
      <c r="D205" s="18" t="s">
        <v>36</v>
      </c>
      <c r="E205" s="18" t="s">
        <v>25</v>
      </c>
      <c r="F205" s="20" t="n">
        <v>3525</v>
      </c>
      <c r="G205" s="20" t="n">
        <v>669.75</v>
      </c>
      <c r="H205" s="18" t="n">
        <v>1</v>
      </c>
    </row>
    <row r="206" customFormat="false" ht="15" hidden="false" customHeight="true" outlineLevel="0" collapsed="false">
      <c r="A206" s="18" t="s">
        <v>256</v>
      </c>
      <c r="B206" s="19" t="n">
        <v>45584</v>
      </c>
      <c r="C206" s="18" t="s">
        <v>23</v>
      </c>
      <c r="D206" s="18" t="s">
        <v>96</v>
      </c>
      <c r="E206" s="18" t="s">
        <v>50</v>
      </c>
      <c r="F206" s="20" t="n">
        <v>500</v>
      </c>
      <c r="G206" s="20" t="n">
        <v>147.5</v>
      </c>
      <c r="H206" s="18" t="n">
        <v>4</v>
      </c>
    </row>
    <row r="207" customFormat="false" ht="15" hidden="false" customHeight="true" outlineLevel="0" collapsed="false">
      <c r="A207" s="18" t="s">
        <v>257</v>
      </c>
      <c r="B207" s="19" t="n">
        <v>45500</v>
      </c>
      <c r="C207" s="18" t="s">
        <v>27</v>
      </c>
      <c r="D207" s="18" t="s">
        <v>36</v>
      </c>
      <c r="E207" s="18" t="s">
        <v>25</v>
      </c>
      <c r="F207" s="20" t="n">
        <v>41067</v>
      </c>
      <c r="G207" s="20" t="n">
        <v>12895.04</v>
      </c>
      <c r="H207" s="18" t="n">
        <v>9</v>
      </c>
    </row>
    <row r="208" customFormat="false" ht="15" hidden="false" customHeight="true" outlineLevel="0" collapsed="false">
      <c r="A208" s="18" t="s">
        <v>258</v>
      </c>
      <c r="B208" s="19" t="n">
        <v>45404</v>
      </c>
      <c r="C208" s="18" t="s">
        <v>41</v>
      </c>
      <c r="D208" s="18" t="s">
        <v>28</v>
      </c>
      <c r="E208" s="18" t="s">
        <v>29</v>
      </c>
      <c r="F208" s="20" t="n">
        <v>16040</v>
      </c>
      <c r="G208" s="20" t="n">
        <v>2133.32</v>
      </c>
      <c r="H208" s="18" t="n">
        <v>8</v>
      </c>
    </row>
    <row r="209" customFormat="false" ht="15" hidden="false" customHeight="true" outlineLevel="0" collapsed="false">
      <c r="A209" s="18" t="s">
        <v>259</v>
      </c>
      <c r="B209" s="19" t="n">
        <v>45322</v>
      </c>
      <c r="C209" s="18" t="s">
        <v>39</v>
      </c>
      <c r="D209" s="18" t="s">
        <v>106</v>
      </c>
      <c r="E209" s="18" t="s">
        <v>25</v>
      </c>
      <c r="F209" s="20" t="n">
        <v>5905</v>
      </c>
      <c r="G209" s="20" t="n">
        <v>938.89</v>
      </c>
      <c r="H209" s="18" t="n">
        <v>5</v>
      </c>
    </row>
    <row r="210" customFormat="false" ht="15" hidden="false" customHeight="true" outlineLevel="0" collapsed="false">
      <c r="A210" s="18" t="s">
        <v>260</v>
      </c>
      <c r="B210" s="19" t="n">
        <v>45482</v>
      </c>
      <c r="C210" s="18" t="s">
        <v>39</v>
      </c>
      <c r="D210" s="18" t="s">
        <v>72</v>
      </c>
      <c r="E210" s="18" t="s">
        <v>29</v>
      </c>
      <c r="F210" s="20" t="n">
        <v>14608</v>
      </c>
      <c r="G210" s="20" t="n">
        <v>2863.17</v>
      </c>
      <c r="H210" s="18" t="n">
        <v>1</v>
      </c>
    </row>
    <row r="211" customFormat="false" ht="15" hidden="false" customHeight="true" outlineLevel="0" collapsed="false">
      <c r="A211" s="18" t="s">
        <v>261</v>
      </c>
      <c r="B211" s="19" t="n">
        <v>45462</v>
      </c>
      <c r="C211" s="18" t="s">
        <v>39</v>
      </c>
      <c r="D211" s="18" t="s">
        <v>93</v>
      </c>
      <c r="E211" s="18" t="s">
        <v>32</v>
      </c>
      <c r="F211" s="20" t="n">
        <v>48620</v>
      </c>
      <c r="G211" s="20" t="n">
        <v>4229.94</v>
      </c>
      <c r="H211" s="18" t="n">
        <v>10</v>
      </c>
    </row>
    <row r="212" customFormat="false" ht="15" hidden="false" customHeight="true" outlineLevel="0" collapsed="false">
      <c r="A212" s="18" t="s">
        <v>262</v>
      </c>
      <c r="B212" s="19" t="n">
        <v>45476</v>
      </c>
      <c r="C212" s="18" t="s">
        <v>41</v>
      </c>
      <c r="D212" s="18" t="s">
        <v>49</v>
      </c>
      <c r="E212" s="18" t="s">
        <v>50</v>
      </c>
      <c r="F212" s="20" t="n">
        <v>114</v>
      </c>
      <c r="G212" s="20" t="n">
        <v>41.61</v>
      </c>
      <c r="H212" s="18" t="n">
        <v>2</v>
      </c>
    </row>
    <row r="213" customFormat="false" ht="15" hidden="false" customHeight="true" outlineLevel="0" collapsed="false">
      <c r="A213" s="18" t="s">
        <v>263</v>
      </c>
      <c r="B213" s="19" t="n">
        <v>45387</v>
      </c>
      <c r="C213" s="18" t="s">
        <v>19</v>
      </c>
      <c r="D213" s="18" t="s">
        <v>62</v>
      </c>
      <c r="E213" s="18" t="s">
        <v>50</v>
      </c>
      <c r="F213" s="20" t="n">
        <v>530</v>
      </c>
      <c r="G213" s="20" t="n">
        <v>197.69</v>
      </c>
      <c r="H213" s="18" t="n">
        <v>10</v>
      </c>
    </row>
    <row r="214" customFormat="false" ht="15" hidden="false" customHeight="true" outlineLevel="0" collapsed="false">
      <c r="A214" s="18" t="s">
        <v>264</v>
      </c>
      <c r="B214" s="19" t="n">
        <v>45624</v>
      </c>
      <c r="C214" s="18" t="s">
        <v>19</v>
      </c>
      <c r="D214" s="18" t="s">
        <v>52</v>
      </c>
      <c r="E214" s="18" t="s">
        <v>32</v>
      </c>
      <c r="F214" s="20" t="n">
        <v>53910</v>
      </c>
      <c r="G214" s="20" t="n">
        <v>8787.33</v>
      </c>
      <c r="H214" s="18" t="n">
        <v>9</v>
      </c>
    </row>
    <row r="215" customFormat="false" ht="15" hidden="false" customHeight="true" outlineLevel="0" collapsed="false">
      <c r="A215" s="18" t="s">
        <v>265</v>
      </c>
      <c r="B215" s="19" t="n">
        <v>45642</v>
      </c>
      <c r="C215" s="18" t="s">
        <v>19</v>
      </c>
      <c r="D215" s="18" t="s">
        <v>72</v>
      </c>
      <c r="E215" s="18" t="s">
        <v>29</v>
      </c>
      <c r="F215" s="20" t="n">
        <v>5212</v>
      </c>
      <c r="G215" s="20" t="n">
        <v>906.89</v>
      </c>
      <c r="H215" s="18" t="n">
        <v>1</v>
      </c>
    </row>
    <row r="216" customFormat="false" ht="15" hidden="false" customHeight="true" outlineLevel="0" collapsed="false">
      <c r="A216" s="18" t="s">
        <v>266</v>
      </c>
      <c r="B216" s="19" t="n">
        <v>45381</v>
      </c>
      <c r="C216" s="18" t="s">
        <v>27</v>
      </c>
      <c r="D216" s="18" t="s">
        <v>64</v>
      </c>
      <c r="E216" s="18" t="s">
        <v>32</v>
      </c>
      <c r="F216" s="20" t="n">
        <v>27362</v>
      </c>
      <c r="G216" s="20" t="n">
        <v>2818.29</v>
      </c>
      <c r="H216" s="18" t="n">
        <v>2</v>
      </c>
    </row>
    <row r="217" customFormat="false" ht="15" hidden="false" customHeight="true" outlineLevel="0" collapsed="false">
      <c r="A217" s="18" t="s">
        <v>267</v>
      </c>
      <c r="B217" s="19" t="n">
        <v>45411</v>
      </c>
      <c r="C217" s="18" t="s">
        <v>19</v>
      </c>
      <c r="D217" s="18" t="s">
        <v>24</v>
      </c>
      <c r="E217" s="18" t="s">
        <v>25</v>
      </c>
      <c r="F217" s="20" t="n">
        <v>19540</v>
      </c>
      <c r="G217" s="20" t="n">
        <v>6076.94</v>
      </c>
      <c r="H217" s="18" t="n">
        <v>10</v>
      </c>
    </row>
    <row r="218" customFormat="false" ht="15" hidden="false" customHeight="true" outlineLevel="0" collapsed="false">
      <c r="A218" s="18" t="s">
        <v>268</v>
      </c>
      <c r="B218" s="19" t="n">
        <v>45332</v>
      </c>
      <c r="C218" s="18" t="s">
        <v>41</v>
      </c>
      <c r="D218" s="18" t="s">
        <v>83</v>
      </c>
      <c r="E218" s="18" t="s">
        <v>21</v>
      </c>
      <c r="F218" s="20" t="n">
        <v>19796</v>
      </c>
      <c r="G218" s="20" t="n">
        <v>3781.04</v>
      </c>
      <c r="H218" s="18" t="n">
        <v>4</v>
      </c>
    </row>
    <row r="219" customFormat="false" ht="15" hidden="false" customHeight="true" outlineLevel="0" collapsed="false">
      <c r="A219" s="18" t="s">
        <v>269</v>
      </c>
      <c r="B219" s="19" t="n">
        <v>45562</v>
      </c>
      <c r="C219" s="18" t="s">
        <v>19</v>
      </c>
      <c r="D219" s="18" t="s">
        <v>55</v>
      </c>
      <c r="E219" s="18" t="s">
        <v>32</v>
      </c>
      <c r="F219" s="20" t="n">
        <v>193530</v>
      </c>
      <c r="G219" s="20" t="n">
        <v>16643.58</v>
      </c>
      <c r="H219" s="18" t="n">
        <v>10</v>
      </c>
    </row>
    <row r="220" customFormat="false" ht="15" hidden="false" customHeight="true" outlineLevel="0" collapsed="false">
      <c r="A220" s="18" t="s">
        <v>270</v>
      </c>
      <c r="B220" s="19" t="n">
        <v>45489</v>
      </c>
      <c r="C220" s="18" t="s">
        <v>41</v>
      </c>
      <c r="D220" s="18" t="s">
        <v>58</v>
      </c>
      <c r="E220" s="18" t="s">
        <v>50</v>
      </c>
      <c r="F220" s="20" t="n">
        <v>132</v>
      </c>
      <c r="G220" s="20" t="n">
        <v>34.85</v>
      </c>
      <c r="H220" s="18" t="n">
        <v>4</v>
      </c>
    </row>
    <row r="221" customFormat="false" ht="15" hidden="false" customHeight="true" outlineLevel="0" collapsed="false">
      <c r="A221" s="18" t="s">
        <v>271</v>
      </c>
      <c r="B221" s="19" t="n">
        <v>45417</v>
      </c>
      <c r="C221" s="18" t="s">
        <v>27</v>
      </c>
      <c r="D221" s="18" t="s">
        <v>120</v>
      </c>
      <c r="E221" s="18" t="s">
        <v>29</v>
      </c>
      <c r="F221" s="20" t="n">
        <v>26922</v>
      </c>
      <c r="G221" s="20" t="n">
        <v>3796</v>
      </c>
      <c r="H221" s="18" t="n">
        <v>2</v>
      </c>
    </row>
    <row r="222" customFormat="false" ht="15" hidden="false" customHeight="true" outlineLevel="0" collapsed="false">
      <c r="A222" s="18" t="s">
        <v>272</v>
      </c>
      <c r="B222" s="19" t="n">
        <v>45456</v>
      </c>
      <c r="C222" s="18" t="s">
        <v>39</v>
      </c>
      <c r="D222" s="18" t="s">
        <v>36</v>
      </c>
      <c r="E222" s="18" t="s">
        <v>25</v>
      </c>
      <c r="F222" s="20" t="n">
        <v>38563</v>
      </c>
      <c r="G222" s="20" t="n">
        <v>6864.21</v>
      </c>
      <c r="H222" s="18" t="n">
        <v>7</v>
      </c>
    </row>
    <row r="223" customFormat="false" ht="15" hidden="false" customHeight="true" outlineLevel="0" collapsed="false">
      <c r="A223" s="18" t="s">
        <v>273</v>
      </c>
      <c r="B223" s="19" t="n">
        <v>45361</v>
      </c>
      <c r="C223" s="18" t="s">
        <v>27</v>
      </c>
      <c r="D223" s="18" t="s">
        <v>44</v>
      </c>
      <c r="E223" s="18" t="s">
        <v>32</v>
      </c>
      <c r="F223" s="20" t="n">
        <v>3031</v>
      </c>
      <c r="G223" s="20" t="n">
        <v>357.66</v>
      </c>
      <c r="H223" s="18" t="n">
        <v>1</v>
      </c>
    </row>
    <row r="224" customFormat="false" ht="15" hidden="false" customHeight="true" outlineLevel="0" collapsed="false">
      <c r="A224" s="18" t="s">
        <v>274</v>
      </c>
      <c r="B224" s="19" t="n">
        <v>45604</v>
      </c>
      <c r="C224" s="18" t="s">
        <v>27</v>
      </c>
      <c r="D224" s="18" t="s">
        <v>36</v>
      </c>
      <c r="E224" s="18" t="s">
        <v>25</v>
      </c>
      <c r="F224" s="20" t="n">
        <v>10416</v>
      </c>
      <c r="G224" s="20" t="n">
        <v>3364.37</v>
      </c>
      <c r="H224" s="18" t="n">
        <v>6</v>
      </c>
    </row>
    <row r="225" customFormat="false" ht="15" hidden="false" customHeight="true" outlineLevel="0" collapsed="false">
      <c r="A225" s="18" t="s">
        <v>275</v>
      </c>
      <c r="B225" s="19" t="n">
        <v>45522</v>
      </c>
      <c r="C225" s="18" t="s">
        <v>27</v>
      </c>
      <c r="D225" s="18" t="s">
        <v>34</v>
      </c>
      <c r="E225" s="18" t="s">
        <v>25</v>
      </c>
      <c r="F225" s="20" t="n">
        <v>9045</v>
      </c>
      <c r="G225" s="20" t="n">
        <v>1591.92</v>
      </c>
      <c r="H225" s="18" t="n">
        <v>9</v>
      </c>
    </row>
    <row r="226" customFormat="false" ht="15" hidden="false" customHeight="true" outlineLevel="0" collapsed="false">
      <c r="A226" s="18" t="s">
        <v>276</v>
      </c>
      <c r="B226" s="19" t="n">
        <v>45337</v>
      </c>
      <c r="C226" s="18" t="s">
        <v>39</v>
      </c>
      <c r="D226" s="18" t="s">
        <v>120</v>
      </c>
      <c r="E226" s="18" t="s">
        <v>29</v>
      </c>
      <c r="F226" s="20" t="n">
        <v>114653</v>
      </c>
      <c r="G226" s="20" t="n">
        <v>16395.38</v>
      </c>
      <c r="H226" s="18" t="n">
        <v>7</v>
      </c>
    </row>
    <row r="227" customFormat="false" ht="15" hidden="false" customHeight="true" outlineLevel="0" collapsed="false">
      <c r="A227" s="18" t="s">
        <v>277</v>
      </c>
      <c r="B227" s="19" t="n">
        <v>45461</v>
      </c>
      <c r="C227" s="18" t="s">
        <v>27</v>
      </c>
      <c r="D227" s="18" t="s">
        <v>62</v>
      </c>
      <c r="E227" s="18" t="s">
        <v>50</v>
      </c>
      <c r="F227" s="20" t="n">
        <v>1048</v>
      </c>
      <c r="G227" s="20" t="n">
        <v>372.04</v>
      </c>
      <c r="H227" s="18" t="n">
        <v>8</v>
      </c>
    </row>
    <row r="228" customFormat="false" ht="15" hidden="false" customHeight="true" outlineLevel="0" collapsed="false">
      <c r="A228" s="18" t="s">
        <v>278</v>
      </c>
      <c r="B228" s="19" t="n">
        <v>45448</v>
      </c>
      <c r="C228" s="18" t="s">
        <v>23</v>
      </c>
      <c r="D228" s="18" t="s">
        <v>120</v>
      </c>
      <c r="E228" s="18" t="s">
        <v>29</v>
      </c>
      <c r="F228" s="20" t="n">
        <v>15988</v>
      </c>
      <c r="G228" s="20" t="n">
        <v>3133.65</v>
      </c>
      <c r="H228" s="18" t="n">
        <v>1</v>
      </c>
    </row>
    <row r="229" customFormat="false" ht="15" hidden="false" customHeight="true" outlineLevel="0" collapsed="false">
      <c r="A229" s="18" t="s">
        <v>279</v>
      </c>
      <c r="B229" s="19" t="n">
        <v>45504</v>
      </c>
      <c r="C229" s="18" t="s">
        <v>19</v>
      </c>
      <c r="D229" s="18" t="s">
        <v>24</v>
      </c>
      <c r="E229" s="18" t="s">
        <v>25</v>
      </c>
      <c r="F229" s="20" t="n">
        <v>10323</v>
      </c>
      <c r="G229" s="20" t="n">
        <v>3241.42</v>
      </c>
      <c r="H229" s="18" t="n">
        <v>9</v>
      </c>
    </row>
    <row r="230" customFormat="false" ht="15" hidden="false" customHeight="true" outlineLevel="0" collapsed="false">
      <c r="A230" s="18" t="s">
        <v>280</v>
      </c>
      <c r="B230" s="19" t="n">
        <v>45358</v>
      </c>
      <c r="C230" s="18" t="s">
        <v>39</v>
      </c>
      <c r="D230" s="18" t="s">
        <v>86</v>
      </c>
      <c r="E230" s="18" t="s">
        <v>21</v>
      </c>
      <c r="F230" s="20" t="n">
        <v>178220</v>
      </c>
      <c r="G230" s="20" t="n">
        <v>42772.8</v>
      </c>
      <c r="H230" s="18" t="n">
        <v>5</v>
      </c>
    </row>
    <row r="231" customFormat="false" ht="15" hidden="false" customHeight="true" outlineLevel="0" collapsed="false">
      <c r="A231" s="18" t="s">
        <v>281</v>
      </c>
      <c r="B231" s="19" t="n">
        <v>45317</v>
      </c>
      <c r="C231" s="18" t="s">
        <v>39</v>
      </c>
      <c r="D231" s="18" t="s">
        <v>46</v>
      </c>
      <c r="E231" s="18" t="s">
        <v>29</v>
      </c>
      <c r="F231" s="20" t="n">
        <v>28504</v>
      </c>
      <c r="G231" s="20" t="n">
        <v>4703.16</v>
      </c>
      <c r="H231" s="18" t="n">
        <v>4</v>
      </c>
    </row>
    <row r="232" customFormat="false" ht="15" hidden="false" customHeight="true" outlineLevel="0" collapsed="false">
      <c r="A232" s="18" t="s">
        <v>282</v>
      </c>
      <c r="B232" s="19" t="n">
        <v>45624</v>
      </c>
      <c r="C232" s="18" t="s">
        <v>19</v>
      </c>
      <c r="D232" s="18" t="s">
        <v>86</v>
      </c>
      <c r="E232" s="18" t="s">
        <v>21</v>
      </c>
      <c r="F232" s="20" t="n">
        <v>192845</v>
      </c>
      <c r="G232" s="20" t="n">
        <v>36062.01</v>
      </c>
      <c r="H232" s="18" t="n">
        <v>5</v>
      </c>
    </row>
    <row r="233" customFormat="false" ht="15" hidden="false" customHeight="true" outlineLevel="0" collapsed="false">
      <c r="A233" s="18" t="s">
        <v>283</v>
      </c>
      <c r="B233" s="19" t="n">
        <v>45578</v>
      </c>
      <c r="C233" s="18" t="s">
        <v>27</v>
      </c>
      <c r="D233" s="18" t="s">
        <v>120</v>
      </c>
      <c r="E233" s="18" t="s">
        <v>29</v>
      </c>
      <c r="F233" s="20" t="n">
        <v>29634</v>
      </c>
      <c r="G233" s="20" t="n">
        <v>5511.92</v>
      </c>
      <c r="H233" s="18" t="n">
        <v>3</v>
      </c>
    </row>
    <row r="234" customFormat="false" ht="15" hidden="false" customHeight="true" outlineLevel="0" collapsed="false">
      <c r="A234" s="18" t="s">
        <v>284</v>
      </c>
      <c r="B234" s="19" t="n">
        <v>45496</v>
      </c>
      <c r="C234" s="18" t="s">
        <v>19</v>
      </c>
      <c r="D234" s="18" t="s">
        <v>42</v>
      </c>
      <c r="E234" s="18" t="s">
        <v>21</v>
      </c>
      <c r="F234" s="20" t="n">
        <v>37044</v>
      </c>
      <c r="G234" s="20" t="n">
        <v>6816.1</v>
      </c>
      <c r="H234" s="18" t="n">
        <v>3</v>
      </c>
    </row>
    <row r="235" customFormat="false" ht="15" hidden="false" customHeight="true" outlineLevel="0" collapsed="false">
      <c r="A235" s="18" t="s">
        <v>285</v>
      </c>
      <c r="B235" s="19" t="n">
        <v>45318</v>
      </c>
      <c r="C235" s="18" t="s">
        <v>41</v>
      </c>
      <c r="D235" s="18" t="s">
        <v>75</v>
      </c>
      <c r="E235" s="18" t="s">
        <v>29</v>
      </c>
      <c r="F235" s="20" t="n">
        <v>13531</v>
      </c>
      <c r="G235" s="20" t="n">
        <v>1407.22</v>
      </c>
      <c r="H235" s="18" t="n">
        <v>7</v>
      </c>
    </row>
    <row r="236" customFormat="false" ht="15" hidden="false" customHeight="true" outlineLevel="0" collapsed="false">
      <c r="A236" s="18" t="s">
        <v>286</v>
      </c>
      <c r="B236" s="19" t="n">
        <v>45462</v>
      </c>
      <c r="C236" s="18" t="s">
        <v>39</v>
      </c>
      <c r="D236" s="18" t="s">
        <v>75</v>
      </c>
      <c r="E236" s="18" t="s">
        <v>29</v>
      </c>
      <c r="F236" s="20" t="n">
        <v>7305</v>
      </c>
      <c r="G236" s="20" t="n">
        <v>1271.07</v>
      </c>
      <c r="H236" s="18" t="n">
        <v>5</v>
      </c>
    </row>
    <row r="237" customFormat="false" ht="15" hidden="false" customHeight="true" outlineLevel="0" collapsed="false">
      <c r="A237" s="18" t="s">
        <v>287</v>
      </c>
      <c r="B237" s="19" t="n">
        <v>45586</v>
      </c>
      <c r="C237" s="18" t="s">
        <v>27</v>
      </c>
      <c r="D237" s="18" t="s">
        <v>49</v>
      </c>
      <c r="E237" s="18" t="s">
        <v>50</v>
      </c>
      <c r="F237" s="20" t="n">
        <v>246</v>
      </c>
      <c r="G237" s="20" t="n">
        <v>80.44</v>
      </c>
      <c r="H237" s="18" t="n">
        <v>3</v>
      </c>
    </row>
    <row r="238" customFormat="false" ht="15" hidden="false" customHeight="true" outlineLevel="0" collapsed="false">
      <c r="A238" s="18" t="s">
        <v>288</v>
      </c>
      <c r="B238" s="19" t="n">
        <v>45293</v>
      </c>
      <c r="C238" s="18" t="s">
        <v>39</v>
      </c>
      <c r="D238" s="18" t="s">
        <v>46</v>
      </c>
      <c r="E238" s="18" t="s">
        <v>29</v>
      </c>
      <c r="F238" s="20" t="n">
        <v>8484</v>
      </c>
      <c r="G238" s="20" t="n">
        <v>1204.73</v>
      </c>
      <c r="H238" s="18" t="n">
        <v>2</v>
      </c>
    </row>
    <row r="239" customFormat="false" ht="15" hidden="false" customHeight="true" outlineLevel="0" collapsed="false">
      <c r="A239" s="18" t="s">
        <v>289</v>
      </c>
      <c r="B239" s="19" t="n">
        <v>45603</v>
      </c>
      <c r="C239" s="18" t="s">
        <v>19</v>
      </c>
      <c r="D239" s="18" t="s">
        <v>86</v>
      </c>
      <c r="E239" s="18" t="s">
        <v>21</v>
      </c>
      <c r="F239" s="20" t="n">
        <v>93142</v>
      </c>
      <c r="G239" s="20" t="n">
        <v>11922.18</v>
      </c>
      <c r="H239" s="18" t="n">
        <v>2</v>
      </c>
    </row>
    <row r="240" customFormat="false" ht="15" hidden="false" customHeight="true" outlineLevel="0" collapsed="false">
      <c r="A240" s="18" t="s">
        <v>290</v>
      </c>
      <c r="B240" s="19" t="n">
        <v>45343</v>
      </c>
      <c r="C240" s="18" t="s">
        <v>27</v>
      </c>
      <c r="D240" s="18" t="s">
        <v>24</v>
      </c>
      <c r="E240" s="18" t="s">
        <v>25</v>
      </c>
      <c r="F240" s="20" t="n">
        <v>19330</v>
      </c>
      <c r="G240" s="20" t="n">
        <v>5837.66</v>
      </c>
      <c r="H240" s="18" t="n">
        <v>10</v>
      </c>
    </row>
    <row r="241" customFormat="false" ht="15" hidden="false" customHeight="true" outlineLevel="0" collapsed="false">
      <c r="A241" s="18" t="s">
        <v>291</v>
      </c>
      <c r="B241" s="19" t="n">
        <v>45628</v>
      </c>
      <c r="C241" s="18" t="s">
        <v>19</v>
      </c>
      <c r="D241" s="18" t="s">
        <v>31</v>
      </c>
      <c r="E241" s="18" t="s">
        <v>32</v>
      </c>
      <c r="F241" s="20" t="n">
        <v>158727</v>
      </c>
      <c r="G241" s="20" t="n">
        <v>23809.05</v>
      </c>
      <c r="H241" s="18" t="n">
        <v>3</v>
      </c>
    </row>
    <row r="242" customFormat="false" ht="15" hidden="false" customHeight="true" outlineLevel="0" collapsed="false">
      <c r="A242" s="18" t="s">
        <v>292</v>
      </c>
      <c r="B242" s="19" t="n">
        <v>45486</v>
      </c>
      <c r="C242" s="18" t="s">
        <v>27</v>
      </c>
      <c r="D242" s="18" t="s">
        <v>62</v>
      </c>
      <c r="E242" s="18" t="s">
        <v>50</v>
      </c>
      <c r="F242" s="20" t="n">
        <v>950</v>
      </c>
      <c r="G242" s="20" t="n">
        <v>378.1</v>
      </c>
      <c r="H242" s="18" t="n">
        <v>5</v>
      </c>
    </row>
    <row r="243" customFormat="false" ht="15" hidden="false" customHeight="true" outlineLevel="0" collapsed="false">
      <c r="A243" s="18" t="s">
        <v>293</v>
      </c>
      <c r="B243" s="19" t="n">
        <v>45416</v>
      </c>
      <c r="C243" s="18" t="s">
        <v>19</v>
      </c>
      <c r="D243" s="18" t="s">
        <v>20</v>
      </c>
      <c r="E243" s="18" t="s">
        <v>21</v>
      </c>
      <c r="F243" s="20" t="n">
        <v>81570</v>
      </c>
      <c r="G243" s="20" t="n">
        <v>10604.1</v>
      </c>
      <c r="H243" s="18" t="n">
        <v>6</v>
      </c>
    </row>
    <row r="244" customFormat="false" ht="15" hidden="false" customHeight="true" outlineLevel="0" collapsed="false">
      <c r="A244" s="18" t="s">
        <v>294</v>
      </c>
      <c r="B244" s="19" t="n">
        <v>45383</v>
      </c>
      <c r="C244" s="18" t="s">
        <v>23</v>
      </c>
      <c r="D244" s="18" t="s">
        <v>46</v>
      </c>
      <c r="E244" s="18" t="s">
        <v>29</v>
      </c>
      <c r="F244" s="20" t="n">
        <v>34263</v>
      </c>
      <c r="G244" s="20" t="n">
        <v>6647.02</v>
      </c>
      <c r="H244" s="18" t="n">
        <v>3</v>
      </c>
    </row>
    <row r="245" customFormat="false" ht="15" hidden="false" customHeight="true" outlineLevel="0" collapsed="false">
      <c r="A245" s="18" t="s">
        <v>295</v>
      </c>
      <c r="B245" s="19" t="n">
        <v>45455</v>
      </c>
      <c r="C245" s="18" t="s">
        <v>19</v>
      </c>
      <c r="D245" s="18" t="s">
        <v>55</v>
      </c>
      <c r="E245" s="18" t="s">
        <v>32</v>
      </c>
      <c r="F245" s="20" t="n">
        <v>364320</v>
      </c>
      <c r="G245" s="20" t="n">
        <v>33517.44</v>
      </c>
      <c r="H245" s="18" t="n">
        <v>10</v>
      </c>
    </row>
    <row r="246" customFormat="false" ht="15" hidden="false" customHeight="true" outlineLevel="0" collapsed="false">
      <c r="A246" s="18" t="s">
        <v>296</v>
      </c>
      <c r="B246" s="19" t="n">
        <v>45588</v>
      </c>
      <c r="C246" s="18" t="s">
        <v>27</v>
      </c>
      <c r="D246" s="18" t="s">
        <v>86</v>
      </c>
      <c r="E246" s="18" t="s">
        <v>21</v>
      </c>
      <c r="F246" s="20" t="n">
        <v>83571</v>
      </c>
      <c r="G246" s="20" t="n">
        <v>13622.07</v>
      </c>
      <c r="H246" s="18" t="n">
        <v>3</v>
      </c>
    </row>
    <row r="247" customFormat="false" ht="15" hidden="false" customHeight="true" outlineLevel="0" collapsed="false">
      <c r="A247" s="18" t="s">
        <v>297</v>
      </c>
      <c r="B247" s="19" t="n">
        <v>45614</v>
      </c>
      <c r="C247" s="18" t="s">
        <v>41</v>
      </c>
      <c r="D247" s="18" t="s">
        <v>93</v>
      </c>
      <c r="E247" s="18" t="s">
        <v>32</v>
      </c>
      <c r="F247" s="20" t="n">
        <v>44367</v>
      </c>
      <c r="G247" s="20" t="n">
        <v>6033.91</v>
      </c>
      <c r="H247" s="18" t="n">
        <v>3</v>
      </c>
    </row>
    <row r="248" customFormat="false" ht="15" hidden="false" customHeight="true" outlineLevel="0" collapsed="false">
      <c r="A248" s="18" t="s">
        <v>298</v>
      </c>
      <c r="B248" s="19" t="n">
        <v>45346</v>
      </c>
      <c r="C248" s="18" t="s">
        <v>19</v>
      </c>
      <c r="D248" s="18" t="s">
        <v>42</v>
      </c>
      <c r="E248" s="18" t="s">
        <v>21</v>
      </c>
      <c r="F248" s="20" t="n">
        <v>48056</v>
      </c>
      <c r="G248" s="20" t="n">
        <v>7448.68</v>
      </c>
      <c r="H248" s="18" t="n">
        <v>8</v>
      </c>
    </row>
    <row r="249" customFormat="false" ht="15" hidden="false" customHeight="true" outlineLevel="0" collapsed="false">
      <c r="A249" s="18" t="s">
        <v>299</v>
      </c>
      <c r="B249" s="19" t="n">
        <v>45599</v>
      </c>
      <c r="C249" s="18" t="s">
        <v>27</v>
      </c>
      <c r="D249" s="18" t="s">
        <v>106</v>
      </c>
      <c r="E249" s="18" t="s">
        <v>25</v>
      </c>
      <c r="F249" s="20" t="n">
        <v>15918</v>
      </c>
      <c r="G249" s="20" t="n">
        <v>2753.81</v>
      </c>
      <c r="H249" s="18" t="n">
        <v>6</v>
      </c>
    </row>
    <row r="250" customFormat="false" ht="15" hidden="false" customHeight="true" outlineLevel="0" collapsed="false">
      <c r="A250" s="18" t="s">
        <v>300</v>
      </c>
      <c r="B250" s="19" t="n">
        <v>45309</v>
      </c>
      <c r="C250" s="18" t="s">
        <v>39</v>
      </c>
      <c r="D250" s="18" t="s">
        <v>55</v>
      </c>
      <c r="E250" s="18" t="s">
        <v>32</v>
      </c>
      <c r="F250" s="20" t="n">
        <v>144028</v>
      </c>
      <c r="G250" s="20" t="n">
        <v>16707.25</v>
      </c>
      <c r="H250" s="18" t="n">
        <v>4</v>
      </c>
    </row>
    <row r="251" customFormat="false" ht="15" hidden="false" customHeight="true" outlineLevel="0" collapsed="false">
      <c r="A251" s="18" t="s">
        <v>301</v>
      </c>
      <c r="B251" s="19" t="n">
        <v>45407</v>
      </c>
      <c r="C251" s="18" t="s">
        <v>41</v>
      </c>
      <c r="D251" s="18" t="s">
        <v>70</v>
      </c>
      <c r="E251" s="18" t="s">
        <v>21</v>
      </c>
      <c r="F251" s="20" t="n">
        <v>29277</v>
      </c>
      <c r="G251" s="20" t="n">
        <v>5621.18</v>
      </c>
      <c r="H251" s="18" t="n">
        <v>1</v>
      </c>
    </row>
    <row r="252" customFormat="false" ht="15" hidden="false" customHeight="true" outlineLevel="0" collapsed="false">
      <c r="A252" s="18" t="s">
        <v>302</v>
      </c>
      <c r="B252" s="19" t="n">
        <v>45656</v>
      </c>
      <c r="C252" s="18" t="s">
        <v>41</v>
      </c>
      <c r="D252" s="18" t="s">
        <v>88</v>
      </c>
      <c r="E252" s="18" t="s">
        <v>50</v>
      </c>
      <c r="F252" s="20" t="n">
        <v>1615</v>
      </c>
      <c r="G252" s="20" t="n">
        <v>524.88</v>
      </c>
      <c r="H252" s="18" t="n">
        <v>5</v>
      </c>
    </row>
    <row r="253" customFormat="false" ht="15" hidden="false" customHeight="true" outlineLevel="0" collapsed="false">
      <c r="A253" s="18" t="s">
        <v>303</v>
      </c>
      <c r="B253" s="19" t="n">
        <v>45433</v>
      </c>
      <c r="C253" s="18" t="s">
        <v>19</v>
      </c>
      <c r="D253" s="18" t="s">
        <v>83</v>
      </c>
      <c r="E253" s="18" t="s">
        <v>21</v>
      </c>
      <c r="F253" s="20" t="n">
        <v>36975</v>
      </c>
      <c r="G253" s="20" t="n">
        <v>5324.4</v>
      </c>
      <c r="H253" s="18" t="n">
        <v>5</v>
      </c>
    </row>
    <row r="254" customFormat="false" ht="15" hidden="false" customHeight="true" outlineLevel="0" collapsed="false">
      <c r="A254" s="18" t="s">
        <v>304</v>
      </c>
      <c r="B254" s="19" t="n">
        <v>45615</v>
      </c>
      <c r="C254" s="18" t="s">
        <v>23</v>
      </c>
      <c r="D254" s="18" t="s">
        <v>46</v>
      </c>
      <c r="E254" s="18" t="s">
        <v>29</v>
      </c>
      <c r="F254" s="20" t="n">
        <v>23408</v>
      </c>
      <c r="G254" s="20" t="n">
        <v>3019.63</v>
      </c>
      <c r="H254" s="18" t="n">
        <v>4</v>
      </c>
    </row>
    <row r="255" customFormat="false" ht="15" hidden="false" customHeight="true" outlineLevel="0" collapsed="false">
      <c r="A255" s="18" t="s">
        <v>305</v>
      </c>
      <c r="B255" s="19" t="n">
        <v>45336</v>
      </c>
      <c r="C255" s="18" t="s">
        <v>27</v>
      </c>
      <c r="D255" s="18" t="s">
        <v>52</v>
      </c>
      <c r="E255" s="18" t="s">
        <v>32</v>
      </c>
      <c r="F255" s="20" t="n">
        <v>10076</v>
      </c>
      <c r="G255" s="20" t="n">
        <v>1622.24</v>
      </c>
      <c r="H255" s="18" t="n">
        <v>4</v>
      </c>
    </row>
    <row r="256" customFormat="false" ht="15" hidden="false" customHeight="true" outlineLevel="0" collapsed="false">
      <c r="A256" s="18" t="s">
        <v>306</v>
      </c>
      <c r="B256" s="19" t="n">
        <v>45495</v>
      </c>
      <c r="C256" s="18" t="s">
        <v>39</v>
      </c>
      <c r="D256" s="18" t="s">
        <v>49</v>
      </c>
      <c r="E256" s="18" t="s">
        <v>50</v>
      </c>
      <c r="F256" s="20" t="n">
        <v>819</v>
      </c>
      <c r="G256" s="20" t="n">
        <v>242.42</v>
      </c>
      <c r="H256" s="18" t="n">
        <v>9</v>
      </c>
    </row>
    <row r="257" customFormat="false" ht="15" hidden="false" customHeight="true" outlineLevel="0" collapsed="false">
      <c r="A257" s="18" t="s">
        <v>307</v>
      </c>
      <c r="B257" s="19" t="n">
        <v>45527</v>
      </c>
      <c r="C257" s="18" t="s">
        <v>41</v>
      </c>
      <c r="D257" s="18" t="s">
        <v>52</v>
      </c>
      <c r="E257" s="18" t="s">
        <v>32</v>
      </c>
      <c r="F257" s="20" t="n">
        <v>13245</v>
      </c>
      <c r="G257" s="20" t="n">
        <v>1668.87</v>
      </c>
      <c r="H257" s="18" t="n">
        <v>3</v>
      </c>
    </row>
    <row r="258" customFormat="false" ht="15" hidden="false" customHeight="true" outlineLevel="0" collapsed="false">
      <c r="A258" s="18" t="s">
        <v>308</v>
      </c>
      <c r="B258" s="19" t="n">
        <v>45342</v>
      </c>
      <c r="C258" s="18" t="s">
        <v>19</v>
      </c>
      <c r="D258" s="18" t="s">
        <v>42</v>
      </c>
      <c r="E258" s="18" t="s">
        <v>21</v>
      </c>
      <c r="F258" s="20" t="n">
        <v>146124</v>
      </c>
      <c r="G258" s="20" t="n">
        <v>27325.19</v>
      </c>
      <c r="H258" s="18" t="n">
        <v>9</v>
      </c>
    </row>
    <row r="259" customFormat="false" ht="15" hidden="false" customHeight="true" outlineLevel="0" collapsed="false">
      <c r="A259" s="18" t="s">
        <v>309</v>
      </c>
      <c r="B259" s="19" t="n">
        <v>45345</v>
      </c>
      <c r="C259" s="18" t="s">
        <v>23</v>
      </c>
      <c r="D259" s="18" t="s">
        <v>91</v>
      </c>
      <c r="E259" s="18" t="s">
        <v>25</v>
      </c>
      <c r="F259" s="20" t="n">
        <v>16820</v>
      </c>
      <c r="G259" s="20" t="n">
        <v>3481.74</v>
      </c>
      <c r="H259" s="18" t="n">
        <v>10</v>
      </c>
    </row>
    <row r="260" customFormat="false" ht="15" hidden="false" customHeight="true" outlineLevel="0" collapsed="false">
      <c r="A260" s="18" t="s">
        <v>310</v>
      </c>
      <c r="B260" s="19" t="n">
        <v>45403</v>
      </c>
      <c r="C260" s="18" t="s">
        <v>27</v>
      </c>
      <c r="D260" s="18" t="s">
        <v>86</v>
      </c>
      <c r="E260" s="18" t="s">
        <v>21</v>
      </c>
      <c r="F260" s="20" t="n">
        <v>502812</v>
      </c>
      <c r="G260" s="20" t="n">
        <v>86483.66</v>
      </c>
      <c r="H260" s="18" t="n">
        <v>9</v>
      </c>
    </row>
    <row r="261" customFormat="false" ht="15" hidden="false" customHeight="true" outlineLevel="0" collapsed="false">
      <c r="A261" s="18" t="s">
        <v>311</v>
      </c>
      <c r="B261" s="19" t="n">
        <v>45610</v>
      </c>
      <c r="C261" s="18" t="s">
        <v>23</v>
      </c>
      <c r="D261" s="18" t="s">
        <v>34</v>
      </c>
      <c r="E261" s="18" t="s">
        <v>25</v>
      </c>
      <c r="F261" s="20" t="n">
        <v>3177</v>
      </c>
      <c r="G261" s="20" t="n">
        <v>864.14</v>
      </c>
      <c r="H261" s="18" t="n">
        <v>9</v>
      </c>
    </row>
    <row r="262" customFormat="false" ht="15" hidden="false" customHeight="true" outlineLevel="0" collapsed="false">
      <c r="A262" s="18" t="s">
        <v>312</v>
      </c>
      <c r="B262" s="19" t="n">
        <v>45330</v>
      </c>
      <c r="C262" s="18" t="s">
        <v>27</v>
      </c>
      <c r="D262" s="18" t="s">
        <v>24</v>
      </c>
      <c r="E262" s="18" t="s">
        <v>25</v>
      </c>
      <c r="F262" s="20" t="n">
        <v>7200</v>
      </c>
      <c r="G262" s="20" t="n">
        <v>1152</v>
      </c>
      <c r="H262" s="18" t="n">
        <v>9</v>
      </c>
    </row>
    <row r="263" customFormat="false" ht="15" hidden="false" customHeight="true" outlineLevel="0" collapsed="false">
      <c r="A263" s="18" t="s">
        <v>313</v>
      </c>
      <c r="B263" s="19" t="n">
        <v>45524</v>
      </c>
      <c r="C263" s="18" t="s">
        <v>23</v>
      </c>
      <c r="D263" s="18" t="s">
        <v>120</v>
      </c>
      <c r="E263" s="18" t="s">
        <v>29</v>
      </c>
      <c r="F263" s="20" t="n">
        <v>11067</v>
      </c>
      <c r="G263" s="20" t="n">
        <v>1848.19</v>
      </c>
      <c r="H263" s="18" t="n">
        <v>1</v>
      </c>
    </row>
    <row r="264" customFormat="false" ht="15" hidden="false" customHeight="true" outlineLevel="0" collapsed="false">
      <c r="A264" s="18" t="s">
        <v>314</v>
      </c>
      <c r="B264" s="19" t="n">
        <v>45312</v>
      </c>
      <c r="C264" s="18" t="s">
        <v>19</v>
      </c>
      <c r="D264" s="18" t="s">
        <v>20</v>
      </c>
      <c r="E264" s="18" t="s">
        <v>21</v>
      </c>
      <c r="F264" s="20" t="n">
        <v>55708</v>
      </c>
      <c r="G264" s="20" t="n">
        <v>7409.16</v>
      </c>
      <c r="H264" s="18" t="n">
        <v>4</v>
      </c>
    </row>
    <row r="265" customFormat="false" ht="15" hidden="false" customHeight="true" outlineLevel="0" collapsed="false">
      <c r="A265" s="18" t="s">
        <v>315</v>
      </c>
      <c r="B265" s="19" t="n">
        <v>45566</v>
      </c>
      <c r="C265" s="18" t="s">
        <v>19</v>
      </c>
      <c r="D265" s="18" t="s">
        <v>31</v>
      </c>
      <c r="E265" s="18" t="s">
        <v>32</v>
      </c>
      <c r="F265" s="20" t="n">
        <v>104236</v>
      </c>
      <c r="G265" s="20" t="n">
        <v>10215.13</v>
      </c>
      <c r="H265" s="18" t="n">
        <v>2</v>
      </c>
    </row>
    <row r="266" customFormat="false" ht="15" hidden="false" customHeight="true" outlineLevel="0" collapsed="false">
      <c r="A266" s="18" t="s">
        <v>316</v>
      </c>
      <c r="B266" s="19" t="n">
        <v>45525</v>
      </c>
      <c r="C266" s="18" t="s">
        <v>39</v>
      </c>
      <c r="D266" s="18" t="s">
        <v>28</v>
      </c>
      <c r="E266" s="18" t="s">
        <v>29</v>
      </c>
      <c r="F266" s="20" t="n">
        <v>38824</v>
      </c>
      <c r="G266" s="20" t="n">
        <v>5745.95</v>
      </c>
      <c r="H266" s="18" t="n">
        <v>8</v>
      </c>
    </row>
    <row r="267" customFormat="false" ht="15" hidden="false" customHeight="true" outlineLevel="0" collapsed="false">
      <c r="A267" s="18" t="s">
        <v>317</v>
      </c>
      <c r="B267" s="19" t="n">
        <v>45330</v>
      </c>
      <c r="C267" s="18" t="s">
        <v>39</v>
      </c>
      <c r="D267" s="18" t="s">
        <v>44</v>
      </c>
      <c r="E267" s="18" t="s">
        <v>32</v>
      </c>
      <c r="F267" s="20" t="n">
        <v>16893</v>
      </c>
      <c r="G267" s="20" t="n">
        <v>1993.37</v>
      </c>
      <c r="H267" s="18" t="n">
        <v>9</v>
      </c>
    </row>
    <row r="268" customFormat="false" ht="15" hidden="false" customHeight="true" outlineLevel="0" collapsed="false">
      <c r="A268" s="18" t="s">
        <v>318</v>
      </c>
      <c r="B268" s="19" t="n">
        <v>45367</v>
      </c>
      <c r="C268" s="18" t="s">
        <v>23</v>
      </c>
      <c r="D268" s="18" t="s">
        <v>31</v>
      </c>
      <c r="E268" s="18" t="s">
        <v>32</v>
      </c>
      <c r="F268" s="20" t="n">
        <v>222410</v>
      </c>
      <c r="G268" s="20" t="n">
        <v>39811.39</v>
      </c>
      <c r="H268" s="18" t="n">
        <v>5</v>
      </c>
    </row>
    <row r="269" customFormat="false" ht="15" hidden="false" customHeight="true" outlineLevel="0" collapsed="false">
      <c r="A269" s="18" t="s">
        <v>319</v>
      </c>
      <c r="B269" s="19" t="n">
        <v>45535</v>
      </c>
      <c r="C269" s="18" t="s">
        <v>23</v>
      </c>
      <c r="D269" s="18" t="s">
        <v>93</v>
      </c>
      <c r="E269" s="18" t="s">
        <v>32</v>
      </c>
      <c r="F269" s="20" t="n">
        <v>8881</v>
      </c>
      <c r="G269" s="20" t="n">
        <v>799.29</v>
      </c>
      <c r="H269" s="18" t="n">
        <v>1</v>
      </c>
    </row>
    <row r="270" customFormat="false" ht="15" hidden="false" customHeight="true" outlineLevel="0" collapsed="false">
      <c r="A270" s="18" t="s">
        <v>320</v>
      </c>
      <c r="B270" s="19" t="n">
        <v>45576</v>
      </c>
      <c r="C270" s="18" t="s">
        <v>27</v>
      </c>
      <c r="D270" s="18" t="s">
        <v>93</v>
      </c>
      <c r="E270" s="18" t="s">
        <v>32</v>
      </c>
      <c r="F270" s="20" t="n">
        <v>25444</v>
      </c>
      <c r="G270" s="20" t="n">
        <v>2595.29</v>
      </c>
      <c r="H270" s="18" t="n">
        <v>4</v>
      </c>
    </row>
    <row r="271" customFormat="false" ht="15" hidden="false" customHeight="true" outlineLevel="0" collapsed="false">
      <c r="A271" s="18" t="s">
        <v>321</v>
      </c>
      <c r="B271" s="19" t="n">
        <v>45400</v>
      </c>
      <c r="C271" s="18" t="s">
        <v>27</v>
      </c>
      <c r="D271" s="18" t="s">
        <v>70</v>
      </c>
      <c r="E271" s="18" t="s">
        <v>21</v>
      </c>
      <c r="F271" s="20" t="n">
        <v>209658</v>
      </c>
      <c r="G271" s="20" t="n">
        <v>49059.97</v>
      </c>
      <c r="H271" s="18" t="n">
        <v>6</v>
      </c>
    </row>
    <row r="272" customFormat="false" ht="15" hidden="false" customHeight="true" outlineLevel="0" collapsed="false">
      <c r="A272" s="18" t="s">
        <v>322</v>
      </c>
      <c r="B272" s="19" t="n">
        <v>45307</v>
      </c>
      <c r="C272" s="18" t="s">
        <v>41</v>
      </c>
      <c r="D272" s="18" t="s">
        <v>96</v>
      </c>
      <c r="E272" s="18" t="s">
        <v>50</v>
      </c>
      <c r="F272" s="20" t="n">
        <v>553</v>
      </c>
      <c r="G272" s="20" t="n">
        <v>186.36</v>
      </c>
      <c r="H272" s="18" t="n">
        <v>7</v>
      </c>
    </row>
    <row r="273" customFormat="false" ht="15" hidden="false" customHeight="true" outlineLevel="0" collapsed="false">
      <c r="A273" s="18" t="s">
        <v>323</v>
      </c>
      <c r="B273" s="19" t="n">
        <v>45622</v>
      </c>
      <c r="C273" s="18" t="s">
        <v>41</v>
      </c>
      <c r="D273" s="18" t="s">
        <v>86</v>
      </c>
      <c r="E273" s="18" t="s">
        <v>21</v>
      </c>
      <c r="F273" s="20" t="n">
        <v>137488</v>
      </c>
      <c r="G273" s="20" t="n">
        <v>26810.16</v>
      </c>
      <c r="H273" s="18" t="n">
        <v>8</v>
      </c>
    </row>
    <row r="274" customFormat="false" ht="15" hidden="false" customHeight="true" outlineLevel="0" collapsed="false">
      <c r="A274" s="18" t="s">
        <v>324</v>
      </c>
      <c r="B274" s="19" t="n">
        <v>45407</v>
      </c>
      <c r="C274" s="18" t="s">
        <v>19</v>
      </c>
      <c r="D274" s="18" t="s">
        <v>106</v>
      </c>
      <c r="E274" s="18" t="s">
        <v>25</v>
      </c>
      <c r="F274" s="20" t="n">
        <v>8088</v>
      </c>
      <c r="G274" s="20" t="n">
        <v>2693.3</v>
      </c>
      <c r="H274" s="18" t="n">
        <v>3</v>
      </c>
    </row>
    <row r="275" customFormat="false" ht="15" hidden="false" customHeight="true" outlineLevel="0" collapsed="false">
      <c r="A275" s="18" t="s">
        <v>325</v>
      </c>
      <c r="B275" s="19" t="n">
        <v>45582</v>
      </c>
      <c r="C275" s="18" t="s">
        <v>27</v>
      </c>
      <c r="D275" s="18" t="s">
        <v>34</v>
      </c>
      <c r="E275" s="18" t="s">
        <v>25</v>
      </c>
      <c r="F275" s="20" t="n">
        <v>8811</v>
      </c>
      <c r="G275" s="20" t="n">
        <v>2000.1</v>
      </c>
      <c r="H275" s="18" t="n">
        <v>9</v>
      </c>
    </row>
    <row r="276" customFormat="false" ht="15" hidden="false" customHeight="true" outlineLevel="0" collapsed="false">
      <c r="A276" s="18" t="s">
        <v>326</v>
      </c>
      <c r="B276" s="19" t="n">
        <v>45344</v>
      </c>
      <c r="C276" s="18" t="s">
        <v>41</v>
      </c>
      <c r="D276" s="18" t="s">
        <v>70</v>
      </c>
      <c r="E276" s="18" t="s">
        <v>21</v>
      </c>
      <c r="F276" s="20" t="n">
        <v>233208</v>
      </c>
      <c r="G276" s="20" t="n">
        <v>37080.07</v>
      </c>
      <c r="H276" s="18" t="n">
        <v>6</v>
      </c>
    </row>
    <row r="277" customFormat="false" ht="15" hidden="false" customHeight="true" outlineLevel="0" collapsed="false">
      <c r="A277" s="18" t="s">
        <v>327</v>
      </c>
      <c r="B277" s="19" t="n">
        <v>45577</v>
      </c>
      <c r="C277" s="18" t="s">
        <v>23</v>
      </c>
      <c r="D277" s="18" t="s">
        <v>64</v>
      </c>
      <c r="E277" s="18" t="s">
        <v>32</v>
      </c>
      <c r="F277" s="20" t="n">
        <v>52165</v>
      </c>
      <c r="G277" s="20" t="n">
        <v>9024.55</v>
      </c>
      <c r="H277" s="18" t="n">
        <v>1</v>
      </c>
    </row>
    <row r="278" customFormat="false" ht="15" hidden="false" customHeight="true" outlineLevel="0" collapsed="false">
      <c r="A278" s="18" t="s">
        <v>328</v>
      </c>
      <c r="B278" s="19" t="n">
        <v>45344</v>
      </c>
      <c r="C278" s="18" t="s">
        <v>41</v>
      </c>
      <c r="D278" s="18" t="s">
        <v>28</v>
      </c>
      <c r="E278" s="18" t="s">
        <v>29</v>
      </c>
      <c r="F278" s="20" t="n">
        <v>39594</v>
      </c>
      <c r="G278" s="20" t="n">
        <v>6533.01</v>
      </c>
      <c r="H278" s="18" t="n">
        <v>6</v>
      </c>
    </row>
    <row r="279" customFormat="false" ht="15" hidden="false" customHeight="true" outlineLevel="0" collapsed="false">
      <c r="A279" s="18" t="s">
        <v>329</v>
      </c>
      <c r="B279" s="19" t="n">
        <v>45427</v>
      </c>
      <c r="C279" s="18" t="s">
        <v>41</v>
      </c>
      <c r="D279" s="18" t="s">
        <v>52</v>
      </c>
      <c r="E279" s="18" t="s">
        <v>32</v>
      </c>
      <c r="F279" s="20" t="n">
        <v>43590</v>
      </c>
      <c r="G279" s="20" t="n">
        <v>5012.85</v>
      </c>
      <c r="H279" s="18" t="n">
        <v>10</v>
      </c>
    </row>
    <row r="280" customFormat="false" ht="15" hidden="false" customHeight="true" outlineLevel="0" collapsed="false">
      <c r="A280" s="18" t="s">
        <v>330</v>
      </c>
      <c r="B280" s="19" t="n">
        <v>45371</v>
      </c>
      <c r="C280" s="18" t="s">
        <v>27</v>
      </c>
      <c r="D280" s="18" t="s">
        <v>75</v>
      </c>
      <c r="E280" s="18" t="s">
        <v>29</v>
      </c>
      <c r="F280" s="20" t="n">
        <v>18380</v>
      </c>
      <c r="G280" s="20" t="n">
        <v>2315.88</v>
      </c>
      <c r="H280" s="18" t="n">
        <v>10</v>
      </c>
    </row>
    <row r="281" customFormat="false" ht="15" hidden="false" customHeight="true" outlineLevel="0" collapsed="false">
      <c r="A281" s="18" t="s">
        <v>331</v>
      </c>
      <c r="B281" s="19" t="n">
        <v>45439</v>
      </c>
      <c r="C281" s="18" t="s">
        <v>27</v>
      </c>
      <c r="D281" s="18" t="s">
        <v>36</v>
      </c>
      <c r="E281" s="18" t="s">
        <v>25</v>
      </c>
      <c r="F281" s="20" t="n">
        <v>16200</v>
      </c>
      <c r="G281" s="20" t="n">
        <v>3904.2</v>
      </c>
      <c r="H281" s="18" t="n">
        <v>9</v>
      </c>
    </row>
    <row r="282" customFormat="false" ht="15" hidden="false" customHeight="true" outlineLevel="0" collapsed="false">
      <c r="A282" s="18" t="s">
        <v>332</v>
      </c>
      <c r="B282" s="19" t="n">
        <v>45579</v>
      </c>
      <c r="C282" s="18" t="s">
        <v>23</v>
      </c>
      <c r="D282" s="18" t="s">
        <v>75</v>
      </c>
      <c r="E282" s="18" t="s">
        <v>29</v>
      </c>
      <c r="F282" s="20" t="n">
        <v>19800</v>
      </c>
      <c r="G282" s="20" t="n">
        <v>3326.4</v>
      </c>
      <c r="H282" s="18" t="n">
        <v>8</v>
      </c>
    </row>
    <row r="283" customFormat="false" ht="15" hidden="false" customHeight="true" outlineLevel="0" collapsed="false">
      <c r="A283" s="18" t="s">
        <v>333</v>
      </c>
      <c r="B283" s="19" t="n">
        <v>45513</v>
      </c>
      <c r="C283" s="18" t="s">
        <v>39</v>
      </c>
      <c r="D283" s="18" t="s">
        <v>34</v>
      </c>
      <c r="E283" s="18" t="s">
        <v>25</v>
      </c>
      <c r="F283" s="20" t="n">
        <v>10780</v>
      </c>
      <c r="G283" s="20" t="n">
        <v>1800.26</v>
      </c>
      <c r="H283" s="18" t="n">
        <v>10</v>
      </c>
    </row>
    <row r="284" customFormat="false" ht="15" hidden="false" customHeight="true" outlineLevel="0" collapsed="false">
      <c r="A284" s="18" t="s">
        <v>334</v>
      </c>
      <c r="B284" s="19" t="n">
        <v>45447</v>
      </c>
      <c r="C284" s="18" t="s">
        <v>27</v>
      </c>
      <c r="D284" s="18" t="s">
        <v>83</v>
      </c>
      <c r="E284" s="18" t="s">
        <v>21</v>
      </c>
      <c r="F284" s="20" t="n">
        <v>102123</v>
      </c>
      <c r="G284" s="20" t="n">
        <v>18790.63</v>
      </c>
      <c r="H284" s="18" t="n">
        <v>9</v>
      </c>
    </row>
    <row r="285" customFormat="false" ht="15" hidden="false" customHeight="true" outlineLevel="0" collapsed="false">
      <c r="A285" s="18" t="s">
        <v>335</v>
      </c>
      <c r="B285" s="19" t="n">
        <v>45477</v>
      </c>
      <c r="C285" s="18" t="s">
        <v>19</v>
      </c>
      <c r="D285" s="18" t="s">
        <v>42</v>
      </c>
      <c r="E285" s="18" t="s">
        <v>21</v>
      </c>
      <c r="F285" s="20" t="n">
        <v>7946</v>
      </c>
      <c r="G285" s="20" t="n">
        <v>1859.36</v>
      </c>
      <c r="H285" s="18" t="n">
        <v>1</v>
      </c>
    </row>
    <row r="286" customFormat="false" ht="15" hidden="false" customHeight="true" outlineLevel="0" collapsed="false">
      <c r="A286" s="18" t="s">
        <v>336</v>
      </c>
      <c r="B286" s="19" t="n">
        <v>45334</v>
      </c>
      <c r="C286" s="18" t="s">
        <v>39</v>
      </c>
      <c r="D286" s="18" t="s">
        <v>83</v>
      </c>
      <c r="E286" s="18" t="s">
        <v>21</v>
      </c>
      <c r="F286" s="20" t="n">
        <v>87280</v>
      </c>
      <c r="G286" s="20" t="n">
        <v>12131.92</v>
      </c>
      <c r="H286" s="18" t="n">
        <v>8</v>
      </c>
    </row>
    <row r="287" customFormat="false" ht="15" hidden="false" customHeight="true" outlineLevel="0" collapsed="false">
      <c r="A287" s="18" t="s">
        <v>337</v>
      </c>
      <c r="B287" s="19" t="n">
        <v>45402</v>
      </c>
      <c r="C287" s="18" t="s">
        <v>19</v>
      </c>
      <c r="D287" s="18" t="s">
        <v>52</v>
      </c>
      <c r="E287" s="18" t="s">
        <v>32</v>
      </c>
      <c r="F287" s="20" t="n">
        <v>7824</v>
      </c>
      <c r="G287" s="20" t="n">
        <v>704.16</v>
      </c>
      <c r="H287" s="18" t="n">
        <v>2</v>
      </c>
    </row>
    <row r="288" customFormat="false" ht="15" hidden="false" customHeight="true" outlineLevel="0" collapsed="false">
      <c r="A288" s="18" t="s">
        <v>338</v>
      </c>
      <c r="B288" s="19" t="n">
        <v>45375</v>
      </c>
      <c r="C288" s="18" t="s">
        <v>19</v>
      </c>
      <c r="D288" s="18" t="s">
        <v>52</v>
      </c>
      <c r="E288" s="18" t="s">
        <v>32</v>
      </c>
      <c r="F288" s="20" t="n">
        <v>10100</v>
      </c>
      <c r="G288" s="20" t="n">
        <v>1747.3</v>
      </c>
      <c r="H288" s="18" t="n">
        <v>10</v>
      </c>
    </row>
    <row r="289" customFormat="false" ht="15" hidden="false" customHeight="true" outlineLevel="0" collapsed="false">
      <c r="A289" s="18" t="s">
        <v>339</v>
      </c>
      <c r="B289" s="19" t="n">
        <v>45441</v>
      </c>
      <c r="C289" s="18" t="s">
        <v>19</v>
      </c>
      <c r="D289" s="18" t="s">
        <v>46</v>
      </c>
      <c r="E289" s="18" t="s">
        <v>29</v>
      </c>
      <c r="F289" s="20" t="n">
        <v>59640</v>
      </c>
      <c r="G289" s="20" t="n">
        <v>11868.36</v>
      </c>
      <c r="H289" s="18" t="n">
        <v>5</v>
      </c>
    </row>
    <row r="290" customFormat="false" ht="15" hidden="false" customHeight="true" outlineLevel="0" collapsed="false">
      <c r="A290" s="18" t="s">
        <v>340</v>
      </c>
      <c r="B290" s="19" t="n">
        <v>45556</v>
      </c>
      <c r="C290" s="18" t="s">
        <v>39</v>
      </c>
      <c r="D290" s="18" t="s">
        <v>64</v>
      </c>
      <c r="E290" s="18" t="s">
        <v>32</v>
      </c>
      <c r="F290" s="20" t="n">
        <v>364820</v>
      </c>
      <c r="G290" s="20" t="n">
        <v>53263.72</v>
      </c>
      <c r="H290" s="18" t="n">
        <v>10</v>
      </c>
    </row>
    <row r="291" customFormat="false" ht="15" hidden="false" customHeight="true" outlineLevel="0" collapsed="false">
      <c r="A291" s="18" t="s">
        <v>341</v>
      </c>
      <c r="B291" s="19" t="n">
        <v>45344</v>
      </c>
      <c r="C291" s="18" t="s">
        <v>39</v>
      </c>
      <c r="D291" s="18" t="s">
        <v>52</v>
      </c>
      <c r="E291" s="18" t="s">
        <v>32</v>
      </c>
      <c r="F291" s="20" t="n">
        <v>1305</v>
      </c>
      <c r="G291" s="20" t="n">
        <v>212.72</v>
      </c>
      <c r="H291" s="18" t="n">
        <v>1</v>
      </c>
    </row>
    <row r="292" customFormat="false" ht="15" hidden="false" customHeight="true" outlineLevel="0" collapsed="false">
      <c r="A292" s="18" t="s">
        <v>342</v>
      </c>
      <c r="B292" s="19" t="n">
        <v>45345</v>
      </c>
      <c r="C292" s="18" t="s">
        <v>39</v>
      </c>
      <c r="D292" s="18" t="s">
        <v>72</v>
      </c>
      <c r="E292" s="18" t="s">
        <v>29</v>
      </c>
      <c r="F292" s="20" t="n">
        <v>43267</v>
      </c>
      <c r="G292" s="20" t="n">
        <v>7571.72</v>
      </c>
      <c r="H292" s="18" t="n">
        <v>7</v>
      </c>
    </row>
    <row r="293" customFormat="false" ht="15" hidden="false" customHeight="true" outlineLevel="0" collapsed="false">
      <c r="A293" s="18" t="s">
        <v>343</v>
      </c>
      <c r="B293" s="19" t="n">
        <v>45519</v>
      </c>
      <c r="C293" s="18" t="s">
        <v>41</v>
      </c>
      <c r="D293" s="18" t="s">
        <v>31</v>
      </c>
      <c r="E293" s="18" t="s">
        <v>32</v>
      </c>
      <c r="F293" s="20" t="n">
        <v>531300</v>
      </c>
      <c r="G293" s="20" t="n">
        <v>48879.6</v>
      </c>
      <c r="H293" s="18" t="n">
        <v>6</v>
      </c>
    </row>
    <row r="294" customFormat="false" ht="15" hidden="false" customHeight="true" outlineLevel="0" collapsed="false">
      <c r="A294" s="18" t="s">
        <v>344</v>
      </c>
      <c r="B294" s="19" t="n">
        <v>45332</v>
      </c>
      <c r="C294" s="18" t="s">
        <v>41</v>
      </c>
      <c r="D294" s="18" t="s">
        <v>91</v>
      </c>
      <c r="E294" s="18" t="s">
        <v>25</v>
      </c>
      <c r="F294" s="20" t="n">
        <v>36336</v>
      </c>
      <c r="G294" s="20" t="n">
        <v>5959.1</v>
      </c>
      <c r="H294" s="18" t="n">
        <v>8</v>
      </c>
    </row>
    <row r="295" customFormat="false" ht="15" hidden="false" customHeight="true" outlineLevel="0" collapsed="false">
      <c r="A295" s="18" t="s">
        <v>345</v>
      </c>
      <c r="B295" s="19" t="n">
        <v>45574</v>
      </c>
      <c r="C295" s="18" t="s">
        <v>27</v>
      </c>
      <c r="D295" s="18" t="s">
        <v>31</v>
      </c>
      <c r="E295" s="18" t="s">
        <v>32</v>
      </c>
      <c r="F295" s="20" t="n">
        <v>69695</v>
      </c>
      <c r="G295" s="20" t="n">
        <v>10593.64</v>
      </c>
      <c r="H295" s="18" t="n">
        <v>1</v>
      </c>
    </row>
    <row r="296" customFormat="false" ht="15" hidden="false" customHeight="true" outlineLevel="0" collapsed="false">
      <c r="A296" s="18" t="s">
        <v>346</v>
      </c>
      <c r="B296" s="19" t="n">
        <v>45446</v>
      </c>
      <c r="C296" s="18" t="s">
        <v>39</v>
      </c>
      <c r="D296" s="18" t="s">
        <v>88</v>
      </c>
      <c r="E296" s="18" t="s">
        <v>50</v>
      </c>
      <c r="F296" s="20" t="n">
        <v>832</v>
      </c>
      <c r="G296" s="20" t="n">
        <v>205.5</v>
      </c>
      <c r="H296" s="18" t="n">
        <v>8</v>
      </c>
    </row>
    <row r="297" customFormat="false" ht="15" hidden="false" customHeight="true" outlineLevel="0" collapsed="false">
      <c r="A297" s="18" t="s">
        <v>347</v>
      </c>
      <c r="B297" s="19" t="n">
        <v>45362</v>
      </c>
      <c r="C297" s="18" t="s">
        <v>41</v>
      </c>
      <c r="D297" s="18" t="s">
        <v>72</v>
      </c>
      <c r="E297" s="18" t="s">
        <v>29</v>
      </c>
      <c r="F297" s="20" t="n">
        <v>34998</v>
      </c>
      <c r="G297" s="20" t="n">
        <v>5774.67</v>
      </c>
      <c r="H297" s="18" t="n">
        <v>3</v>
      </c>
    </row>
    <row r="298" customFormat="false" ht="15" hidden="false" customHeight="true" outlineLevel="0" collapsed="false">
      <c r="A298" s="18" t="s">
        <v>348</v>
      </c>
      <c r="B298" s="19" t="n">
        <v>45300</v>
      </c>
      <c r="C298" s="18" t="s">
        <v>19</v>
      </c>
      <c r="D298" s="18" t="s">
        <v>24</v>
      </c>
      <c r="E298" s="18" t="s">
        <v>25</v>
      </c>
      <c r="F298" s="20" t="n">
        <v>2612</v>
      </c>
      <c r="G298" s="20" t="n">
        <v>517.18</v>
      </c>
      <c r="H298" s="18" t="n">
        <v>2</v>
      </c>
    </row>
    <row r="299" customFormat="false" ht="15" hidden="false" customHeight="true" outlineLevel="0" collapsed="false">
      <c r="A299" s="18" t="s">
        <v>349</v>
      </c>
      <c r="B299" s="19" t="n">
        <v>45575</v>
      </c>
      <c r="C299" s="18" t="s">
        <v>39</v>
      </c>
      <c r="D299" s="18" t="s">
        <v>20</v>
      </c>
      <c r="E299" s="18" t="s">
        <v>21</v>
      </c>
      <c r="F299" s="20" t="n">
        <v>52904</v>
      </c>
      <c r="G299" s="20" t="n">
        <v>11268.55</v>
      </c>
      <c r="H299" s="18" t="n">
        <v>4</v>
      </c>
    </row>
    <row r="300" customFormat="false" ht="15" hidden="false" customHeight="true" outlineLevel="0" collapsed="false">
      <c r="A300" s="18" t="s">
        <v>350</v>
      </c>
      <c r="B300" s="19" t="n">
        <v>45486</v>
      </c>
      <c r="C300" s="18" t="s">
        <v>27</v>
      </c>
      <c r="D300" s="18" t="s">
        <v>58</v>
      </c>
      <c r="E300" s="18" t="s">
        <v>50</v>
      </c>
      <c r="F300" s="20" t="n">
        <v>201</v>
      </c>
      <c r="G300" s="20" t="n">
        <v>41.81</v>
      </c>
      <c r="H300" s="18" t="n">
        <v>3</v>
      </c>
    </row>
    <row r="301" customFormat="false" ht="15" hidden="false" customHeight="true" outlineLevel="0" collapsed="false">
      <c r="A301" s="18" t="s">
        <v>351</v>
      </c>
      <c r="B301" s="19" t="n">
        <v>45597</v>
      </c>
      <c r="C301" s="18" t="s">
        <v>41</v>
      </c>
      <c r="D301" s="18" t="s">
        <v>64</v>
      </c>
      <c r="E301" s="18" t="s">
        <v>32</v>
      </c>
      <c r="F301" s="20" t="n">
        <v>60948</v>
      </c>
      <c r="G301" s="20" t="n">
        <v>9446.94</v>
      </c>
      <c r="H301" s="18" t="n">
        <v>3</v>
      </c>
    </row>
    <row r="302" customFormat="false" ht="15" hidden="false" customHeight="true" outlineLevel="0" collapsed="false">
      <c r="A302" s="18" t="s">
        <v>352</v>
      </c>
      <c r="B302" s="19" t="n">
        <v>45412</v>
      </c>
      <c r="C302" s="18" t="s">
        <v>19</v>
      </c>
      <c r="D302" s="18" t="s">
        <v>42</v>
      </c>
      <c r="E302" s="18" t="s">
        <v>21</v>
      </c>
      <c r="F302" s="20" t="n">
        <v>25656</v>
      </c>
      <c r="G302" s="20" t="n">
        <v>3155.69</v>
      </c>
      <c r="H302" s="18" t="n">
        <v>4</v>
      </c>
    </row>
    <row r="303" customFormat="false" ht="15" hidden="false" customHeight="true" outlineLevel="0" collapsed="false">
      <c r="A303" s="18" t="s">
        <v>353</v>
      </c>
      <c r="B303" s="19" t="n">
        <v>45563</v>
      </c>
      <c r="C303" s="18" t="s">
        <v>39</v>
      </c>
      <c r="D303" s="18" t="s">
        <v>88</v>
      </c>
      <c r="E303" s="18" t="s">
        <v>50</v>
      </c>
      <c r="F303" s="20" t="n">
        <v>1974</v>
      </c>
      <c r="G303" s="20" t="n">
        <v>529.03</v>
      </c>
      <c r="H303" s="18" t="n">
        <v>7</v>
      </c>
    </row>
    <row r="304" customFormat="false" ht="15" hidden="false" customHeight="true" outlineLevel="0" collapsed="false">
      <c r="A304" s="18" t="s">
        <v>354</v>
      </c>
      <c r="B304" s="19" t="n">
        <v>45626</v>
      </c>
      <c r="C304" s="18" t="s">
        <v>27</v>
      </c>
      <c r="D304" s="18" t="s">
        <v>86</v>
      </c>
      <c r="E304" s="18" t="s">
        <v>21</v>
      </c>
      <c r="F304" s="20" t="n">
        <v>139815</v>
      </c>
      <c r="G304" s="20" t="n">
        <v>32157.45</v>
      </c>
      <c r="H304" s="18" t="n">
        <v>9</v>
      </c>
    </row>
    <row r="305" customFormat="false" ht="15" hidden="false" customHeight="true" outlineLevel="0" collapsed="false">
      <c r="A305" s="18" t="s">
        <v>355</v>
      </c>
      <c r="B305" s="19" t="n">
        <v>45636</v>
      </c>
      <c r="C305" s="18" t="s">
        <v>19</v>
      </c>
      <c r="D305" s="18" t="s">
        <v>91</v>
      </c>
      <c r="E305" s="18" t="s">
        <v>25</v>
      </c>
      <c r="F305" s="20" t="n">
        <v>2821</v>
      </c>
      <c r="G305" s="20" t="n">
        <v>567.02</v>
      </c>
      <c r="H305" s="18" t="n">
        <v>1</v>
      </c>
    </row>
    <row r="306" customFormat="false" ht="15" hidden="false" customHeight="true" outlineLevel="0" collapsed="false">
      <c r="A306" s="18" t="s">
        <v>356</v>
      </c>
      <c r="B306" s="19" t="n">
        <v>45568</v>
      </c>
      <c r="C306" s="18" t="s">
        <v>41</v>
      </c>
      <c r="D306" s="18" t="s">
        <v>58</v>
      </c>
      <c r="E306" s="18" t="s">
        <v>50</v>
      </c>
      <c r="F306" s="20" t="n">
        <v>452</v>
      </c>
      <c r="G306" s="20" t="n">
        <v>96.73</v>
      </c>
      <c r="H306" s="18" t="n">
        <v>4</v>
      </c>
    </row>
    <row r="307" customFormat="false" ht="15" hidden="false" customHeight="true" outlineLevel="0" collapsed="false">
      <c r="A307" s="18" t="s">
        <v>357</v>
      </c>
      <c r="B307" s="19" t="n">
        <v>45376</v>
      </c>
      <c r="C307" s="18" t="s">
        <v>27</v>
      </c>
      <c r="D307" s="18" t="s">
        <v>62</v>
      </c>
      <c r="E307" s="18" t="s">
        <v>50</v>
      </c>
      <c r="F307" s="20" t="n">
        <v>864</v>
      </c>
      <c r="G307" s="20" t="n">
        <v>193.54</v>
      </c>
      <c r="H307" s="18" t="n">
        <v>6</v>
      </c>
    </row>
    <row r="308" customFormat="false" ht="15" hidden="false" customHeight="true" outlineLevel="0" collapsed="false">
      <c r="A308" s="18" t="s">
        <v>358</v>
      </c>
      <c r="B308" s="19" t="n">
        <v>45376</v>
      </c>
      <c r="C308" s="18" t="s">
        <v>19</v>
      </c>
      <c r="D308" s="18" t="s">
        <v>96</v>
      </c>
      <c r="E308" s="18" t="s">
        <v>50</v>
      </c>
      <c r="F308" s="20" t="n">
        <v>600</v>
      </c>
      <c r="G308" s="20" t="n">
        <v>224.4</v>
      </c>
      <c r="H308" s="18" t="n">
        <v>5</v>
      </c>
    </row>
    <row r="309" customFormat="false" ht="15" hidden="false" customHeight="true" outlineLevel="0" collapsed="false">
      <c r="A309" s="18" t="s">
        <v>359</v>
      </c>
      <c r="B309" s="19" t="n">
        <v>45409</v>
      </c>
      <c r="C309" s="18" t="s">
        <v>41</v>
      </c>
      <c r="D309" s="18" t="s">
        <v>28</v>
      </c>
      <c r="E309" s="18" t="s">
        <v>29</v>
      </c>
      <c r="F309" s="20" t="n">
        <v>18660</v>
      </c>
      <c r="G309" s="20" t="n">
        <v>2145.9</v>
      </c>
      <c r="H309" s="18" t="n">
        <v>5</v>
      </c>
    </row>
    <row r="310" customFormat="false" ht="15" hidden="false" customHeight="true" outlineLevel="0" collapsed="false">
      <c r="A310" s="18" t="s">
        <v>360</v>
      </c>
      <c r="B310" s="19" t="n">
        <v>45321</v>
      </c>
      <c r="C310" s="18" t="s">
        <v>23</v>
      </c>
      <c r="D310" s="18" t="s">
        <v>91</v>
      </c>
      <c r="E310" s="18" t="s">
        <v>25</v>
      </c>
      <c r="F310" s="20" t="n">
        <v>13041</v>
      </c>
      <c r="G310" s="20" t="n">
        <v>3912.3</v>
      </c>
      <c r="H310" s="18" t="n">
        <v>9</v>
      </c>
    </row>
    <row r="311" customFormat="false" ht="15" hidden="false" customHeight="true" outlineLevel="0" collapsed="false">
      <c r="A311" s="18" t="s">
        <v>308</v>
      </c>
      <c r="B311" s="19" t="n">
        <v>45342</v>
      </c>
      <c r="C311" s="18" t="s">
        <v>19</v>
      </c>
      <c r="D311" s="18" t="s">
        <v>42</v>
      </c>
      <c r="E311" s="18" t="s">
        <v>21</v>
      </c>
      <c r="F311" s="20" t="n">
        <v>146124</v>
      </c>
      <c r="G311" s="20"/>
      <c r="H311" s="18" t="n">
        <v>9</v>
      </c>
    </row>
    <row r="312" customFormat="false" ht="15" hidden="false" customHeight="true" outlineLevel="0" collapsed="false">
      <c r="A312" s="18" t="s">
        <v>361</v>
      </c>
      <c r="B312" s="19" t="n">
        <v>45494</v>
      </c>
      <c r="C312" s="18" t="s">
        <v>19</v>
      </c>
      <c r="D312" s="18" t="s">
        <v>120</v>
      </c>
      <c r="E312" s="18" t="s">
        <v>29</v>
      </c>
      <c r="F312" s="20" t="n">
        <v>134211</v>
      </c>
      <c r="G312" s="20" t="n">
        <v>24963.25</v>
      </c>
      <c r="H312" s="18" t="n">
        <v>7</v>
      </c>
    </row>
    <row r="313" customFormat="false" ht="15" hidden="false" customHeight="true" outlineLevel="0" collapsed="false">
      <c r="A313" s="18" t="s">
        <v>362</v>
      </c>
      <c r="B313" s="19" t="n">
        <v>45353</v>
      </c>
      <c r="C313" s="18" t="s">
        <v>23</v>
      </c>
      <c r="D313" s="18" t="s">
        <v>24</v>
      </c>
      <c r="E313" s="18" t="s">
        <v>25</v>
      </c>
      <c r="F313" s="20" t="n">
        <v>1311</v>
      </c>
      <c r="G313" s="20" t="n">
        <v>336.93</v>
      </c>
      <c r="H313" s="18" t="n">
        <v>1</v>
      </c>
    </row>
    <row r="314" customFormat="false" ht="15" hidden="false" customHeight="true" outlineLevel="0" collapsed="false">
      <c r="A314" s="18" t="s">
        <v>363</v>
      </c>
      <c r="B314" s="19" t="n">
        <v>45622</v>
      </c>
      <c r="C314" s="18" t="s">
        <v>41</v>
      </c>
      <c r="D314" s="18" t="s">
        <v>36</v>
      </c>
      <c r="E314" s="18" t="s">
        <v>25</v>
      </c>
      <c r="F314" s="20" t="n">
        <v>6804</v>
      </c>
      <c r="G314" s="20" t="n">
        <v>1748.63</v>
      </c>
      <c r="H314" s="18" t="n">
        <v>2</v>
      </c>
    </row>
    <row r="315" customFormat="false" ht="15" hidden="false" customHeight="true" outlineLevel="0" collapsed="false">
      <c r="A315" s="18" t="s">
        <v>364</v>
      </c>
      <c r="B315" s="19" t="n">
        <v>45603</v>
      </c>
      <c r="C315" s="18" t="s">
        <v>39</v>
      </c>
      <c r="D315" s="18" t="s">
        <v>83</v>
      </c>
      <c r="E315" s="18" t="s">
        <v>21</v>
      </c>
      <c r="F315" s="20" t="n">
        <v>56819</v>
      </c>
      <c r="G315" s="20" t="n">
        <v>13977.47</v>
      </c>
      <c r="H315" s="18" t="n">
        <v>7</v>
      </c>
    </row>
    <row r="316" customFormat="false" ht="15" hidden="false" customHeight="true" outlineLevel="0" collapsed="false">
      <c r="A316" s="18" t="s">
        <v>365</v>
      </c>
      <c r="B316" s="19" t="n">
        <v>45484</v>
      </c>
      <c r="C316" s="18" t="s">
        <v>39</v>
      </c>
      <c r="D316" s="18" t="s">
        <v>36</v>
      </c>
      <c r="E316" s="18" t="s">
        <v>25</v>
      </c>
      <c r="F316" s="20" t="n">
        <v>48411</v>
      </c>
      <c r="G316" s="20" t="n">
        <v>9585.38</v>
      </c>
      <c r="H316" s="18" t="n">
        <v>9</v>
      </c>
    </row>
    <row r="317" customFormat="false" ht="15" hidden="false" customHeight="true" outlineLevel="0" collapsed="false">
      <c r="A317" s="18" t="s">
        <v>366</v>
      </c>
      <c r="B317" s="19" t="n">
        <v>45353</v>
      </c>
      <c r="C317" s="18" t="s">
        <v>23</v>
      </c>
      <c r="D317" s="18" t="s">
        <v>36</v>
      </c>
      <c r="E317" s="18" t="s">
        <v>25</v>
      </c>
      <c r="F317" s="20" t="n">
        <v>9207</v>
      </c>
      <c r="G317" s="20" t="n">
        <v>1776.95</v>
      </c>
      <c r="H317" s="18" t="n">
        <v>3</v>
      </c>
    </row>
    <row r="318" customFormat="false" ht="15" hidden="false" customHeight="true" outlineLevel="0" collapsed="false">
      <c r="A318" s="18" t="s">
        <v>367</v>
      </c>
      <c r="B318" s="19" t="n">
        <v>45406</v>
      </c>
      <c r="C318" s="18" t="s">
        <v>23</v>
      </c>
      <c r="D318" s="18" t="s">
        <v>44</v>
      </c>
      <c r="E318" s="18" t="s">
        <v>32</v>
      </c>
      <c r="F318" s="20" t="n">
        <v>23891</v>
      </c>
      <c r="G318" s="20" t="n">
        <v>3655.32</v>
      </c>
      <c r="H318" s="18" t="n">
        <v>7</v>
      </c>
    </row>
    <row r="319" customFormat="false" ht="15" hidden="false" customHeight="true" outlineLevel="0" collapsed="false">
      <c r="A319" s="18" t="s">
        <v>368</v>
      </c>
      <c r="B319" s="19" t="n">
        <v>45472</v>
      </c>
      <c r="C319" s="18" t="s">
        <v>23</v>
      </c>
      <c r="D319" s="18" t="s">
        <v>49</v>
      </c>
      <c r="E319" s="18" t="s">
        <v>50</v>
      </c>
      <c r="F319" s="20" t="n">
        <v>135</v>
      </c>
      <c r="G319" s="20" t="n">
        <v>29.02</v>
      </c>
      <c r="H319" s="18" t="n">
        <v>5</v>
      </c>
    </row>
    <row r="320" customFormat="false" ht="15" hidden="false" customHeight="true" outlineLevel="0" collapsed="false">
      <c r="A320" s="18" t="s">
        <v>369</v>
      </c>
      <c r="B320" s="19" t="n">
        <v>45517</v>
      </c>
      <c r="C320" s="18" t="s">
        <v>41</v>
      </c>
      <c r="D320" s="18" t="s">
        <v>28</v>
      </c>
      <c r="E320" s="18" t="s">
        <v>29</v>
      </c>
      <c r="F320" s="20" t="n">
        <v>17000</v>
      </c>
      <c r="G320" s="20" t="n">
        <v>2924</v>
      </c>
      <c r="H320" s="18" t="n">
        <v>8</v>
      </c>
    </row>
    <row r="321" customFormat="false" ht="15" hidden="false" customHeight="true" outlineLevel="0" collapsed="false">
      <c r="A321" s="18" t="s">
        <v>370</v>
      </c>
      <c r="B321" s="19" t="n">
        <v>45632</v>
      </c>
      <c r="C321" s="18" t="s">
        <v>19</v>
      </c>
      <c r="D321" s="18" t="s">
        <v>58</v>
      </c>
      <c r="E321" s="18" t="s">
        <v>50</v>
      </c>
      <c r="F321" s="20" t="n">
        <v>351</v>
      </c>
      <c r="G321" s="20" t="n">
        <v>135.13</v>
      </c>
      <c r="H321" s="18" t="n">
        <v>3</v>
      </c>
    </row>
    <row r="322" customFormat="false" ht="15" hidden="false" customHeight="true" outlineLevel="0" collapsed="false">
      <c r="A322" s="18" t="s">
        <v>371</v>
      </c>
      <c r="B322" s="19" t="n">
        <v>45404</v>
      </c>
      <c r="C322" s="18" t="s">
        <v>23</v>
      </c>
      <c r="D322" s="18" t="s">
        <v>24</v>
      </c>
      <c r="E322" s="18" t="s">
        <v>25</v>
      </c>
      <c r="F322" s="20" t="n">
        <v>9282</v>
      </c>
      <c r="G322" s="20" t="n">
        <v>3128.03</v>
      </c>
      <c r="H322" s="18" t="n">
        <v>7</v>
      </c>
    </row>
    <row r="323" customFormat="false" ht="15" hidden="false" customHeight="true" outlineLevel="0" collapsed="false">
      <c r="A323" s="18" t="s">
        <v>372</v>
      </c>
      <c r="B323" s="19" t="n">
        <v>45481</v>
      </c>
      <c r="C323" s="18" t="s">
        <v>39</v>
      </c>
      <c r="D323" s="18" t="s">
        <v>64</v>
      </c>
      <c r="E323" s="18" t="s">
        <v>32</v>
      </c>
      <c r="F323" s="20" t="n">
        <v>175760</v>
      </c>
      <c r="G323" s="20" t="n">
        <v>30054.96</v>
      </c>
      <c r="H323" s="18" t="n">
        <v>4</v>
      </c>
    </row>
    <row r="324" customFormat="false" ht="15" hidden="false" customHeight="true" outlineLevel="0" collapsed="false">
      <c r="A324" s="18" t="s">
        <v>373</v>
      </c>
      <c r="B324" s="19" t="n">
        <v>45335</v>
      </c>
      <c r="C324" s="18" t="s">
        <v>41</v>
      </c>
      <c r="D324" s="18" t="s">
        <v>91</v>
      </c>
      <c r="E324" s="18" t="s">
        <v>25</v>
      </c>
      <c r="F324" s="20" t="n">
        <v>7878</v>
      </c>
      <c r="G324" s="20" t="n">
        <v>1670.14</v>
      </c>
      <c r="H324" s="18" t="n">
        <v>3</v>
      </c>
    </row>
    <row r="325" customFormat="false" ht="15" hidden="false" customHeight="true" outlineLevel="0" collapsed="false">
      <c r="A325" s="18" t="s">
        <v>374</v>
      </c>
      <c r="B325" s="19" t="n">
        <v>45531</v>
      </c>
      <c r="C325" s="18" t="s">
        <v>27</v>
      </c>
      <c r="D325" s="18" t="s">
        <v>86</v>
      </c>
      <c r="E325" s="18" t="s">
        <v>21</v>
      </c>
      <c r="F325" s="20" t="n">
        <v>132144</v>
      </c>
      <c r="G325" s="20" t="n">
        <v>17443.01</v>
      </c>
      <c r="H325" s="18" t="n">
        <v>8</v>
      </c>
    </row>
    <row r="326" customFormat="false" ht="15" hidden="false" customHeight="true" outlineLevel="0" collapsed="false">
      <c r="A326" s="18" t="s">
        <v>375</v>
      </c>
      <c r="B326" s="19" t="n">
        <v>45608</v>
      </c>
      <c r="C326" s="18" t="s">
        <v>39</v>
      </c>
      <c r="D326" s="18" t="s">
        <v>34</v>
      </c>
      <c r="E326" s="18" t="s">
        <v>25</v>
      </c>
      <c r="F326" s="20" t="n">
        <v>2365</v>
      </c>
      <c r="G326" s="20" t="n">
        <v>671.66</v>
      </c>
      <c r="H326" s="18" t="n">
        <v>5</v>
      </c>
    </row>
    <row r="327" customFormat="false" ht="15" hidden="false" customHeight="true" outlineLevel="0" collapsed="false">
      <c r="A327" s="18" t="s">
        <v>376</v>
      </c>
      <c r="B327" s="19" t="n">
        <v>45401</v>
      </c>
      <c r="C327" s="18" t="s">
        <v>19</v>
      </c>
      <c r="D327" s="18" t="s">
        <v>36</v>
      </c>
      <c r="E327" s="18" t="s">
        <v>25</v>
      </c>
      <c r="F327" s="20" t="n">
        <v>24576</v>
      </c>
      <c r="G327" s="20" t="n">
        <v>4792.32</v>
      </c>
      <c r="H327" s="18" t="n">
        <v>8</v>
      </c>
    </row>
    <row r="328" customFormat="false" ht="15" hidden="false" customHeight="true" outlineLevel="0" collapsed="false">
      <c r="A328" s="18" t="s">
        <v>377</v>
      </c>
      <c r="B328" s="19" t="n">
        <v>45477</v>
      </c>
      <c r="C328" s="18" t="s">
        <v>41</v>
      </c>
      <c r="D328" s="18" t="s">
        <v>49</v>
      </c>
      <c r="E328" s="18" t="s">
        <v>50</v>
      </c>
      <c r="F328" s="20" t="n">
        <v>102</v>
      </c>
      <c r="G328" s="20" t="n">
        <v>29.27</v>
      </c>
      <c r="H328" s="18" t="n">
        <v>2</v>
      </c>
    </row>
    <row r="329" customFormat="false" ht="15" hidden="false" customHeight="true" outlineLevel="0" collapsed="false">
      <c r="A329" s="18" t="s">
        <v>378</v>
      </c>
      <c r="B329" s="19" t="n">
        <v>45508</v>
      </c>
      <c r="C329" s="18" t="s">
        <v>23</v>
      </c>
      <c r="D329" s="18" t="s">
        <v>58</v>
      </c>
      <c r="E329" s="18" t="s">
        <v>50</v>
      </c>
      <c r="F329" s="20" t="n">
        <v>76</v>
      </c>
      <c r="G329" s="20" t="n">
        <v>19.91</v>
      </c>
      <c r="H329" s="18" t="n">
        <v>1</v>
      </c>
    </row>
    <row r="330" customFormat="false" ht="15" hidden="false" customHeight="true" outlineLevel="0" collapsed="false">
      <c r="A330" s="18" t="s">
        <v>379</v>
      </c>
      <c r="B330" s="19" t="n">
        <v>45517</v>
      </c>
      <c r="C330" s="18" t="s">
        <v>19</v>
      </c>
      <c r="D330" s="18" t="s">
        <v>44</v>
      </c>
      <c r="E330" s="18" t="s">
        <v>32</v>
      </c>
      <c r="F330" s="20" t="n">
        <v>2968</v>
      </c>
      <c r="G330" s="20" t="n">
        <v>516.43</v>
      </c>
      <c r="H330" s="18" t="n">
        <v>1</v>
      </c>
    </row>
    <row r="331" customFormat="false" ht="15" hidden="false" customHeight="true" outlineLevel="0" collapsed="false">
      <c r="A331" s="18" t="s">
        <v>380</v>
      </c>
      <c r="B331" s="19" t="n">
        <v>45651</v>
      </c>
      <c r="C331" s="18" t="s">
        <v>41</v>
      </c>
      <c r="D331" s="18" t="s">
        <v>120</v>
      </c>
      <c r="E331" s="18" t="s">
        <v>29</v>
      </c>
      <c r="F331" s="20" t="n">
        <v>44253</v>
      </c>
      <c r="G331" s="20" t="n">
        <v>7655.77</v>
      </c>
      <c r="H331" s="18" t="n">
        <v>3</v>
      </c>
    </row>
    <row r="332" customFormat="false" ht="15" hidden="false" customHeight="true" outlineLevel="0" collapsed="false">
      <c r="A332" s="18" t="s">
        <v>381</v>
      </c>
      <c r="B332" s="19" t="n">
        <v>45554</v>
      </c>
      <c r="C332" s="18" t="s">
        <v>27</v>
      </c>
      <c r="D332" s="18" t="s">
        <v>62</v>
      </c>
      <c r="E332" s="18" t="s">
        <v>50</v>
      </c>
      <c r="F332" s="20" t="n">
        <v>540</v>
      </c>
      <c r="G332" s="20" t="n">
        <v>168.48</v>
      </c>
      <c r="H332" s="18" t="n">
        <v>10</v>
      </c>
    </row>
    <row r="333" customFormat="false" ht="15" hidden="false" customHeight="true" outlineLevel="0" collapsed="false">
      <c r="A333" s="18" t="s">
        <v>382</v>
      </c>
      <c r="B333" s="19" t="n">
        <v>45523</v>
      </c>
      <c r="C333" s="18" t="s">
        <v>23</v>
      </c>
      <c r="D333" s="18" t="s">
        <v>91</v>
      </c>
      <c r="E333" s="18" t="s">
        <v>25</v>
      </c>
      <c r="F333" s="20" t="n">
        <v>20007</v>
      </c>
      <c r="G333" s="20" t="n">
        <v>3381.18</v>
      </c>
      <c r="H333" s="18" t="n">
        <v>9</v>
      </c>
    </row>
    <row r="334" customFormat="false" ht="15" hidden="false" customHeight="true" outlineLevel="0" collapsed="false">
      <c r="A334" s="18" t="s">
        <v>383</v>
      </c>
      <c r="B334" s="19" t="n">
        <v>45560</v>
      </c>
      <c r="C334" s="18" t="s">
        <v>19</v>
      </c>
      <c r="D334" s="18" t="s">
        <v>106</v>
      </c>
      <c r="E334" s="18" t="s">
        <v>25</v>
      </c>
      <c r="F334" s="20" t="n">
        <v>17304</v>
      </c>
      <c r="G334" s="20" t="n">
        <v>3114.72</v>
      </c>
      <c r="H334" s="18" t="n">
        <v>7</v>
      </c>
    </row>
    <row r="335" customFormat="false" ht="15" hidden="false" customHeight="true" outlineLevel="0" collapsed="false">
      <c r="A335" s="18" t="s">
        <v>384</v>
      </c>
      <c r="B335" s="19" t="n">
        <v>45642</v>
      </c>
      <c r="C335" s="18" t="s">
        <v>27</v>
      </c>
      <c r="D335" s="18" t="s">
        <v>93</v>
      </c>
      <c r="E335" s="18" t="s">
        <v>32</v>
      </c>
      <c r="F335" s="20" t="n">
        <v>30770</v>
      </c>
      <c r="G335" s="20" t="n">
        <v>3015.46</v>
      </c>
      <c r="H335" s="18" t="n">
        <v>10</v>
      </c>
    </row>
    <row r="336" customFormat="false" ht="15" hidden="false" customHeight="true" outlineLevel="0" collapsed="false">
      <c r="A336" s="18" t="s">
        <v>385</v>
      </c>
      <c r="B336" s="19" t="n">
        <v>45393</v>
      </c>
      <c r="C336" s="18" t="s">
        <v>23</v>
      </c>
      <c r="D336" s="18" t="s">
        <v>49</v>
      </c>
      <c r="E336" s="18" t="s">
        <v>50</v>
      </c>
      <c r="F336" s="20" t="n">
        <v>308</v>
      </c>
      <c r="G336" s="20" t="n">
        <v>97.94</v>
      </c>
      <c r="H336" s="18" t="n">
        <v>4</v>
      </c>
    </row>
    <row r="337" customFormat="false" ht="15" hidden="false" customHeight="true" outlineLevel="0" collapsed="false">
      <c r="A337" s="18" t="s">
        <v>386</v>
      </c>
      <c r="B337" s="19" t="n">
        <v>45330</v>
      </c>
      <c r="C337" s="18" t="s">
        <v>41</v>
      </c>
      <c r="D337" s="18" t="s">
        <v>55</v>
      </c>
      <c r="E337" s="18" t="s">
        <v>32</v>
      </c>
      <c r="F337" s="20" t="n">
        <v>164240</v>
      </c>
      <c r="G337" s="20" t="n">
        <v>26442.64</v>
      </c>
      <c r="H337" s="18" t="n">
        <v>4</v>
      </c>
    </row>
    <row r="338" customFormat="false" ht="15" hidden="false" customHeight="true" outlineLevel="0" collapsed="false">
      <c r="A338" s="18" t="s">
        <v>387</v>
      </c>
      <c r="B338" s="19" t="n">
        <v>45382</v>
      </c>
      <c r="C338" s="18" t="s">
        <v>27</v>
      </c>
      <c r="D338" s="18" t="s">
        <v>31</v>
      </c>
      <c r="E338" s="18" t="s">
        <v>32</v>
      </c>
      <c r="F338" s="20" t="n">
        <v>249813</v>
      </c>
      <c r="G338" s="20" t="n">
        <v>42967.84</v>
      </c>
      <c r="H338" s="18" t="n">
        <v>3</v>
      </c>
    </row>
    <row r="339" customFormat="false" ht="15" hidden="false" customHeight="true" outlineLevel="0" collapsed="false">
      <c r="A339" s="18" t="s">
        <v>388</v>
      </c>
      <c r="B339" s="19" t="n">
        <v>45612</v>
      </c>
      <c r="C339" s="18" t="s">
        <v>23</v>
      </c>
      <c r="D339" s="18" t="s">
        <v>96</v>
      </c>
      <c r="E339" s="18" t="s">
        <v>50</v>
      </c>
      <c r="F339" s="20" t="n">
        <v>148</v>
      </c>
      <c r="G339" s="20" t="n">
        <v>30.34</v>
      </c>
      <c r="H339" s="18" t="n">
        <v>4</v>
      </c>
    </row>
    <row r="340" customFormat="false" ht="15" hidden="false" customHeight="true" outlineLevel="0" collapsed="false">
      <c r="A340" s="18" t="s">
        <v>389</v>
      </c>
      <c r="B340" s="19" t="n">
        <v>45641</v>
      </c>
      <c r="C340" s="18" t="s">
        <v>27</v>
      </c>
      <c r="D340" s="18" t="s">
        <v>44</v>
      </c>
      <c r="E340" s="18" t="s">
        <v>32</v>
      </c>
      <c r="F340" s="20" t="n">
        <v>15948</v>
      </c>
      <c r="G340" s="20" t="n">
        <v>2727.11</v>
      </c>
      <c r="H340" s="18" t="n">
        <v>6</v>
      </c>
    </row>
    <row r="341" customFormat="false" ht="15" hidden="false" customHeight="true" outlineLevel="0" collapsed="false">
      <c r="A341" s="18" t="s">
        <v>390</v>
      </c>
      <c r="B341" s="19" t="n">
        <v>45552</v>
      </c>
      <c r="C341" s="18" t="s">
        <v>39</v>
      </c>
      <c r="D341" s="18" t="s">
        <v>91</v>
      </c>
      <c r="E341" s="18" t="s">
        <v>25</v>
      </c>
      <c r="F341" s="20" t="n">
        <v>16870</v>
      </c>
      <c r="G341" s="20" t="n">
        <v>4706.73</v>
      </c>
      <c r="H341" s="18" t="n">
        <v>7</v>
      </c>
    </row>
    <row r="342" customFormat="false" ht="15" hidden="false" customHeight="true" outlineLevel="0" collapsed="false">
      <c r="A342" s="18" t="s">
        <v>391</v>
      </c>
      <c r="B342" s="19" t="n">
        <v>45602</v>
      </c>
      <c r="C342" s="18" t="s">
        <v>23</v>
      </c>
      <c r="D342" s="18" t="s">
        <v>24</v>
      </c>
      <c r="E342" s="18" t="s">
        <v>25</v>
      </c>
      <c r="F342" s="20" t="n">
        <v>10620</v>
      </c>
      <c r="G342" s="20" t="n">
        <v>3239.1</v>
      </c>
      <c r="H342" s="18" t="n">
        <v>10</v>
      </c>
    </row>
    <row r="343" customFormat="false" ht="15" hidden="false" customHeight="true" outlineLevel="0" collapsed="false">
      <c r="A343" s="18" t="s">
        <v>392</v>
      </c>
      <c r="B343" s="19" t="n">
        <v>45579</v>
      </c>
      <c r="C343" s="18" t="s">
        <v>23</v>
      </c>
      <c r="D343" s="18" t="s">
        <v>83</v>
      </c>
      <c r="E343" s="18" t="s">
        <v>21</v>
      </c>
      <c r="F343" s="20" t="n">
        <v>95190</v>
      </c>
      <c r="G343" s="20" t="n">
        <v>22560.03</v>
      </c>
      <c r="H343" s="18" t="n">
        <v>10</v>
      </c>
    </row>
    <row r="344" customFormat="false" ht="15" hidden="false" customHeight="true" outlineLevel="0" collapsed="false">
      <c r="A344" s="18" t="s">
        <v>393</v>
      </c>
      <c r="B344" s="19" t="n">
        <v>45565</v>
      </c>
      <c r="C344" s="18" t="s">
        <v>23</v>
      </c>
      <c r="D344" s="18" t="s">
        <v>106</v>
      </c>
      <c r="E344" s="18" t="s">
        <v>25</v>
      </c>
      <c r="F344" s="20" t="n">
        <v>6650</v>
      </c>
      <c r="G344" s="20" t="n">
        <v>2048.2</v>
      </c>
      <c r="H344" s="18" t="n">
        <v>7</v>
      </c>
    </row>
    <row r="345" customFormat="false" ht="15" hidden="false" customHeight="true" outlineLevel="0" collapsed="false">
      <c r="A345" s="18" t="s">
        <v>394</v>
      </c>
      <c r="B345" s="19" t="n">
        <v>45437</v>
      </c>
      <c r="C345" s="18" t="s">
        <v>41</v>
      </c>
      <c r="D345" s="18" t="s">
        <v>34</v>
      </c>
      <c r="E345" s="18" t="s">
        <v>25</v>
      </c>
      <c r="F345" s="20" t="n">
        <v>3600</v>
      </c>
      <c r="G345" s="20" t="n">
        <v>914.4</v>
      </c>
      <c r="H345" s="18" t="n">
        <v>5</v>
      </c>
    </row>
    <row r="346" customFormat="false" ht="15" hidden="false" customHeight="true" outlineLevel="0" collapsed="false">
      <c r="A346" s="18" t="s">
        <v>395</v>
      </c>
      <c r="B346" s="19" t="n">
        <v>45543</v>
      </c>
      <c r="C346" s="18" t="s">
        <v>27</v>
      </c>
      <c r="D346" s="18" t="s">
        <v>55</v>
      </c>
      <c r="E346" s="18" t="s">
        <v>32</v>
      </c>
      <c r="F346" s="20" t="n">
        <v>66218</v>
      </c>
      <c r="G346" s="20" t="n">
        <v>9336.74</v>
      </c>
      <c r="H346" s="18" t="n">
        <v>2</v>
      </c>
    </row>
    <row r="347" customFormat="false" ht="15" hidden="false" customHeight="true" outlineLevel="0" collapsed="false">
      <c r="A347" s="18" t="s">
        <v>396</v>
      </c>
      <c r="B347" s="19" t="n">
        <v>45487</v>
      </c>
      <c r="C347" s="18" t="s">
        <v>23</v>
      </c>
      <c r="D347" s="18" t="s">
        <v>28</v>
      </c>
      <c r="E347" s="18" t="s">
        <v>29</v>
      </c>
      <c r="F347" s="20" t="n">
        <v>28580</v>
      </c>
      <c r="G347" s="20" t="n">
        <v>4315.58</v>
      </c>
      <c r="H347" s="18" t="n">
        <v>5</v>
      </c>
    </row>
    <row r="348" customFormat="false" ht="15" hidden="false" customHeight="true" outlineLevel="0" collapsed="false">
      <c r="A348" s="18" t="s">
        <v>397</v>
      </c>
      <c r="B348" s="19" t="n">
        <v>45550</v>
      </c>
      <c r="C348" s="18" t="s">
        <v>39</v>
      </c>
      <c r="D348" s="18" t="s">
        <v>96</v>
      </c>
      <c r="E348" s="18" t="s">
        <v>50</v>
      </c>
      <c r="F348" s="20" t="n">
        <v>92</v>
      </c>
      <c r="G348" s="20" t="n">
        <v>31.92</v>
      </c>
      <c r="H348" s="18" t="n">
        <v>1</v>
      </c>
    </row>
    <row r="349" customFormat="false" ht="15" hidden="false" customHeight="true" outlineLevel="0" collapsed="false">
      <c r="A349" s="18" t="s">
        <v>398</v>
      </c>
      <c r="B349" s="19" t="n">
        <v>45415</v>
      </c>
      <c r="C349" s="18" t="s">
        <v>27</v>
      </c>
      <c r="D349" s="18" t="s">
        <v>75</v>
      </c>
      <c r="E349" s="18" t="s">
        <v>29</v>
      </c>
      <c r="F349" s="20" t="n">
        <v>21080</v>
      </c>
      <c r="G349" s="20" t="n">
        <v>3773.32</v>
      </c>
      <c r="H349" s="18" t="n">
        <v>8</v>
      </c>
    </row>
    <row r="350" customFormat="false" ht="15" hidden="false" customHeight="true" outlineLevel="0" collapsed="false">
      <c r="A350" s="18" t="s">
        <v>399</v>
      </c>
      <c r="B350" s="19" t="n">
        <v>45512</v>
      </c>
      <c r="C350" s="18" t="s">
        <v>39</v>
      </c>
      <c r="D350" s="18" t="s">
        <v>83</v>
      </c>
      <c r="E350" s="18" t="s">
        <v>21</v>
      </c>
      <c r="F350" s="20" t="n">
        <v>54636</v>
      </c>
      <c r="G350" s="20" t="n">
        <v>9178.85</v>
      </c>
      <c r="H350" s="18" t="n">
        <v>6</v>
      </c>
    </row>
    <row r="351" customFormat="false" ht="15" hidden="false" customHeight="true" outlineLevel="0" collapsed="false">
      <c r="A351" s="18" t="s">
        <v>400</v>
      </c>
      <c r="B351" s="19" t="n">
        <v>45608</v>
      </c>
      <c r="C351" s="18" t="s">
        <v>23</v>
      </c>
      <c r="D351" s="18" t="s">
        <v>96</v>
      </c>
      <c r="E351" s="18" t="s">
        <v>50</v>
      </c>
      <c r="F351" s="20" t="n">
        <v>1170</v>
      </c>
      <c r="G351" s="20" t="n">
        <v>409.5</v>
      </c>
      <c r="H351" s="18" t="n">
        <v>9</v>
      </c>
    </row>
    <row r="352" customFormat="false" ht="15" hidden="false" customHeight="true" outlineLevel="0" collapsed="false">
      <c r="A352" s="18" t="s">
        <v>401</v>
      </c>
      <c r="B352" s="19" t="n">
        <v>45419</v>
      </c>
      <c r="C352" s="18" t="s">
        <v>27</v>
      </c>
      <c r="D352" s="18" t="s">
        <v>58</v>
      </c>
      <c r="E352" s="18" t="s">
        <v>50</v>
      </c>
      <c r="F352" s="20" t="n">
        <v>343</v>
      </c>
      <c r="G352" s="20" t="n">
        <v>126.22</v>
      </c>
      <c r="H352" s="18" t="n">
        <v>7</v>
      </c>
    </row>
    <row r="353" customFormat="false" ht="15" hidden="false" customHeight="true" outlineLevel="0" collapsed="false">
      <c r="A353" s="18" t="s">
        <v>402</v>
      </c>
      <c r="B353" s="19" t="n">
        <v>45489</v>
      </c>
      <c r="C353" s="18" t="s">
        <v>19</v>
      </c>
      <c r="D353" s="18" t="s">
        <v>83</v>
      </c>
      <c r="E353" s="18" t="s">
        <v>21</v>
      </c>
      <c r="F353" s="20" t="n">
        <v>49630</v>
      </c>
      <c r="G353" s="20" t="n">
        <v>8089.69</v>
      </c>
      <c r="H353" s="18" t="n">
        <v>10</v>
      </c>
    </row>
    <row r="354" customFormat="false" ht="15" hidden="false" customHeight="true" outlineLevel="0" collapsed="false">
      <c r="A354" s="18" t="s">
        <v>403</v>
      </c>
      <c r="B354" s="19" t="n">
        <v>45575</v>
      </c>
      <c r="C354" s="18" t="s">
        <v>27</v>
      </c>
      <c r="D354" s="18" t="s">
        <v>46</v>
      </c>
      <c r="E354" s="18" t="s">
        <v>29</v>
      </c>
      <c r="F354" s="20" t="n">
        <v>94624</v>
      </c>
      <c r="G354" s="20" t="n">
        <v>16843.07</v>
      </c>
      <c r="H354" s="18" t="n">
        <v>8</v>
      </c>
    </row>
    <row r="355" customFormat="false" ht="15" hidden="false" customHeight="true" outlineLevel="0" collapsed="false">
      <c r="A355" s="18" t="s">
        <v>404</v>
      </c>
      <c r="B355" s="19" t="n">
        <v>45628</v>
      </c>
      <c r="C355" s="18" t="s">
        <v>19</v>
      </c>
      <c r="D355" s="18" t="s">
        <v>44</v>
      </c>
      <c r="E355" s="18" t="s">
        <v>32</v>
      </c>
      <c r="F355" s="20"/>
      <c r="G355" s="20" t="n">
        <v>1716.32</v>
      </c>
      <c r="H355" s="18" t="n">
        <v>10</v>
      </c>
    </row>
    <row r="356" customFormat="false" ht="15" hidden="false" customHeight="true" outlineLevel="0" collapsed="false">
      <c r="A356" s="18" t="s">
        <v>405</v>
      </c>
      <c r="B356" s="19" t="n">
        <v>45472</v>
      </c>
      <c r="C356" s="18" t="s">
        <v>23</v>
      </c>
      <c r="D356" s="18" t="s">
        <v>70</v>
      </c>
      <c r="E356" s="18" t="s">
        <v>21</v>
      </c>
      <c r="F356" s="20" t="n">
        <v>111630</v>
      </c>
      <c r="G356" s="20" t="n">
        <v>24670.23</v>
      </c>
      <c r="H356" s="18" t="n">
        <v>3</v>
      </c>
    </row>
    <row r="357" customFormat="false" ht="15" hidden="false" customHeight="true" outlineLevel="0" collapsed="false">
      <c r="A357" s="18" t="s">
        <v>406</v>
      </c>
      <c r="B357" s="19" t="n">
        <v>45642</v>
      </c>
      <c r="C357" s="18" t="s">
        <v>19</v>
      </c>
      <c r="D357" s="18" t="s">
        <v>72</v>
      </c>
      <c r="E357" s="18" t="s">
        <v>29</v>
      </c>
      <c r="F357" s="20" t="n">
        <v>55390</v>
      </c>
      <c r="G357" s="20" t="n">
        <v>6536.02</v>
      </c>
      <c r="H357" s="18" t="n">
        <v>10</v>
      </c>
    </row>
    <row r="358" customFormat="false" ht="15" hidden="false" customHeight="true" outlineLevel="0" collapsed="false">
      <c r="A358" s="18" t="s">
        <v>407</v>
      </c>
      <c r="B358" s="19" t="n">
        <v>45568</v>
      </c>
      <c r="C358" s="18" t="s">
        <v>27</v>
      </c>
      <c r="D358" s="18" t="s">
        <v>75</v>
      </c>
      <c r="E358" s="18" t="s">
        <v>29</v>
      </c>
      <c r="F358" s="20" t="n">
        <v>6894</v>
      </c>
      <c r="G358" s="20" t="n">
        <v>958.27</v>
      </c>
      <c r="H358" s="18" t="n">
        <v>3</v>
      </c>
    </row>
    <row r="359" customFormat="false" ht="15" hidden="false" customHeight="true" outlineLevel="0" collapsed="false">
      <c r="A359" s="18" t="s">
        <v>408</v>
      </c>
      <c r="B359" s="19" t="n">
        <v>45350</v>
      </c>
      <c r="C359" s="18" t="s">
        <v>19</v>
      </c>
      <c r="D359" s="18" t="s">
        <v>36</v>
      </c>
      <c r="E359" s="18" t="s">
        <v>25</v>
      </c>
      <c r="F359" s="20" t="n">
        <v>40545</v>
      </c>
      <c r="G359" s="20" t="n">
        <v>10460.61</v>
      </c>
      <c r="H359" s="18" t="n">
        <v>9</v>
      </c>
    </row>
    <row r="360" customFormat="false" ht="15" hidden="false" customHeight="true" outlineLevel="0" collapsed="false">
      <c r="A360" s="18" t="s">
        <v>409</v>
      </c>
      <c r="B360" s="19" t="n">
        <v>45446</v>
      </c>
      <c r="C360" s="18" t="s">
        <v>27</v>
      </c>
      <c r="D360" s="18" t="s">
        <v>52</v>
      </c>
      <c r="E360" s="18" t="s">
        <v>32</v>
      </c>
      <c r="F360" s="20" t="n">
        <v>3513</v>
      </c>
      <c r="G360" s="20" t="n">
        <v>614.77</v>
      </c>
      <c r="H360" s="18" t="n">
        <v>3</v>
      </c>
    </row>
    <row r="361" customFormat="false" ht="15" hidden="false" customHeight="true" outlineLevel="0" collapsed="false">
      <c r="A361" s="18" t="s">
        <v>410</v>
      </c>
      <c r="B361" s="19" t="n">
        <v>45540</v>
      </c>
      <c r="C361" s="18" t="s">
        <v>19</v>
      </c>
      <c r="D361" s="18" t="s">
        <v>46</v>
      </c>
      <c r="E361" s="18" t="s">
        <v>29</v>
      </c>
      <c r="F361" s="20" t="n">
        <v>78921</v>
      </c>
      <c r="G361" s="20" t="n">
        <v>10970.02</v>
      </c>
      <c r="H361" s="18" t="n">
        <v>9</v>
      </c>
    </row>
    <row r="362" customFormat="false" ht="15" hidden="false" customHeight="true" outlineLevel="0" collapsed="false">
      <c r="A362" s="18" t="s">
        <v>411</v>
      </c>
      <c r="B362" s="19" t="n">
        <v>45388</v>
      </c>
      <c r="C362" s="18" t="s">
        <v>23</v>
      </c>
      <c r="D362" s="18" t="s">
        <v>58</v>
      </c>
      <c r="E362" s="18" t="s">
        <v>50</v>
      </c>
      <c r="F362" s="20" t="n">
        <v>1260</v>
      </c>
      <c r="G362" s="20" t="n">
        <v>378</v>
      </c>
      <c r="H362" s="18" t="n">
        <v>10</v>
      </c>
    </row>
    <row r="363" customFormat="false" ht="15" hidden="false" customHeight="true" outlineLevel="0" collapsed="false">
      <c r="A363" s="18" t="s">
        <v>412</v>
      </c>
      <c r="B363" s="19" t="n">
        <v>45636</v>
      </c>
      <c r="C363" s="18" t="s">
        <v>41</v>
      </c>
      <c r="D363" s="18" t="s">
        <v>49</v>
      </c>
      <c r="E363" s="18" t="s">
        <v>50</v>
      </c>
      <c r="F363" s="20" t="n">
        <v>590</v>
      </c>
      <c r="G363" s="20" t="n">
        <v>211.81</v>
      </c>
      <c r="H363" s="18" t="n">
        <v>10</v>
      </c>
    </row>
    <row r="364" customFormat="false" ht="15" hidden="false" customHeight="true" outlineLevel="0" collapsed="false">
      <c r="A364" s="18" t="s">
        <v>413</v>
      </c>
      <c r="B364" s="19" t="n">
        <v>45616</v>
      </c>
      <c r="C364" s="18" t="s">
        <v>41</v>
      </c>
      <c r="D364" s="18" t="s">
        <v>88</v>
      </c>
      <c r="E364" s="18" t="s">
        <v>50</v>
      </c>
      <c r="F364" s="20" t="n">
        <v>1728</v>
      </c>
      <c r="G364" s="20" t="n">
        <v>585.79</v>
      </c>
      <c r="H364" s="18" t="n">
        <v>9</v>
      </c>
    </row>
    <row r="365" customFormat="false" ht="15" hidden="false" customHeight="true" outlineLevel="0" collapsed="false">
      <c r="A365" s="18" t="s">
        <v>414</v>
      </c>
      <c r="B365" s="19" t="n">
        <v>45502</v>
      </c>
      <c r="C365" s="18" t="s">
        <v>23</v>
      </c>
      <c r="D365" s="18" t="s">
        <v>93</v>
      </c>
      <c r="E365" s="18" t="s">
        <v>32</v>
      </c>
      <c r="F365" s="20" t="n">
        <v>149420</v>
      </c>
      <c r="G365" s="20" t="n">
        <v>23458.94</v>
      </c>
      <c r="H365" s="18" t="n">
        <v>10</v>
      </c>
    </row>
    <row r="366" customFormat="false" ht="15" hidden="false" customHeight="true" outlineLevel="0" collapsed="false">
      <c r="A366" s="18" t="s">
        <v>415</v>
      </c>
      <c r="B366" s="19" t="n">
        <v>45477</v>
      </c>
      <c r="C366" s="18" t="s">
        <v>23</v>
      </c>
      <c r="D366" s="18" t="s">
        <v>46</v>
      </c>
      <c r="E366" s="18" t="s">
        <v>29</v>
      </c>
      <c r="F366" s="20" t="n">
        <v>21810</v>
      </c>
      <c r="G366" s="20" t="n">
        <v>3271.5</v>
      </c>
      <c r="H366" s="18" t="n">
        <v>2</v>
      </c>
    </row>
    <row r="367" customFormat="false" ht="15" hidden="false" customHeight="true" outlineLevel="0" collapsed="false">
      <c r="A367" s="18" t="s">
        <v>416</v>
      </c>
      <c r="B367" s="19" t="n">
        <v>45485</v>
      </c>
      <c r="C367" s="18" t="s">
        <v>19</v>
      </c>
      <c r="D367" s="18" t="s">
        <v>46</v>
      </c>
      <c r="E367" s="18" t="s">
        <v>29</v>
      </c>
      <c r="F367" s="20" t="n">
        <v>23930</v>
      </c>
      <c r="G367" s="20" t="n">
        <v>2991.25</v>
      </c>
      <c r="H367" s="18" t="n">
        <v>2</v>
      </c>
    </row>
    <row r="368" customFormat="false" ht="15" hidden="false" customHeight="true" outlineLevel="0" collapsed="false">
      <c r="A368" s="18" t="s">
        <v>417</v>
      </c>
      <c r="B368" s="19" t="n">
        <v>45472</v>
      </c>
      <c r="C368" s="18" t="s">
        <v>27</v>
      </c>
      <c r="D368" s="18" t="s">
        <v>88</v>
      </c>
      <c r="E368" s="18" t="s">
        <v>50</v>
      </c>
      <c r="F368" s="20" t="n">
        <v>1520</v>
      </c>
      <c r="G368" s="20" t="n">
        <v>462.08</v>
      </c>
      <c r="H368" s="18" t="n">
        <v>10</v>
      </c>
    </row>
    <row r="369" customFormat="false" ht="15" hidden="false" customHeight="true" outlineLevel="0" collapsed="false">
      <c r="A369" s="18" t="s">
        <v>418</v>
      </c>
      <c r="B369" s="19" t="n">
        <v>45558</v>
      </c>
      <c r="C369" s="18" t="s">
        <v>41</v>
      </c>
      <c r="D369" s="18" t="s">
        <v>24</v>
      </c>
      <c r="E369" s="18" t="s">
        <v>25</v>
      </c>
      <c r="F369" s="20" t="n">
        <v>8334</v>
      </c>
      <c r="G369" s="20" t="n">
        <v>1941.82</v>
      </c>
      <c r="H369" s="18" t="n">
        <v>9</v>
      </c>
    </row>
    <row r="370" customFormat="false" ht="15" hidden="false" customHeight="true" outlineLevel="0" collapsed="false">
      <c r="A370" s="18" t="s">
        <v>114</v>
      </c>
      <c r="B370" s="19" t="n">
        <v>45396</v>
      </c>
      <c r="C370" s="18" t="s">
        <v>23</v>
      </c>
      <c r="D370" s="18" t="s">
        <v>64</v>
      </c>
      <c r="E370" s="18" t="s">
        <v>32</v>
      </c>
      <c r="F370" s="20" t="n">
        <v>237966</v>
      </c>
      <c r="G370" s="20" t="n">
        <v>21416.94</v>
      </c>
      <c r="H370" s="18" t="n">
        <v>6</v>
      </c>
    </row>
    <row r="371" customFormat="false" ht="15" hidden="false" customHeight="true" outlineLevel="0" collapsed="false">
      <c r="A371" s="18" t="s">
        <v>419</v>
      </c>
      <c r="B371" s="19" t="n">
        <v>45441</v>
      </c>
      <c r="C371" s="18" t="s">
        <v>23</v>
      </c>
      <c r="D371" s="18" t="s">
        <v>106</v>
      </c>
      <c r="E371" s="18" t="s">
        <v>25</v>
      </c>
      <c r="F371" s="20" t="n">
        <v>12505</v>
      </c>
      <c r="G371" s="20" t="n">
        <v>3964.09</v>
      </c>
      <c r="H371" s="18" t="n">
        <v>5</v>
      </c>
    </row>
    <row r="372" customFormat="false" ht="15" hidden="false" customHeight="true" outlineLevel="0" collapsed="false">
      <c r="A372" s="18" t="s">
        <v>420</v>
      </c>
      <c r="B372" s="19" t="n">
        <v>45527</v>
      </c>
      <c r="C372" s="18" t="s">
        <v>41</v>
      </c>
      <c r="D372" s="18" t="s">
        <v>70</v>
      </c>
      <c r="E372" s="18" t="s">
        <v>21</v>
      </c>
      <c r="F372" s="20" t="n">
        <v>240660</v>
      </c>
      <c r="G372" s="20" t="n">
        <v>46928.7</v>
      </c>
      <c r="H372" s="18" t="n">
        <v>10</v>
      </c>
    </row>
    <row r="373" customFormat="false" ht="15" hidden="false" customHeight="true" outlineLevel="0" collapsed="false">
      <c r="A373" s="18" t="s">
        <v>421</v>
      </c>
      <c r="B373" s="19" t="n">
        <v>45350</v>
      </c>
      <c r="C373" s="18" t="s">
        <v>27</v>
      </c>
      <c r="D373" s="18" t="s">
        <v>55</v>
      </c>
      <c r="E373" s="18" t="s">
        <v>32</v>
      </c>
      <c r="F373" s="20" t="n">
        <v>80355</v>
      </c>
      <c r="G373" s="20" t="n">
        <v>13338.93</v>
      </c>
      <c r="H373" s="18" t="n">
        <v>3</v>
      </c>
    </row>
    <row r="374" customFormat="false" ht="15" hidden="false" customHeight="true" outlineLevel="0" collapsed="false">
      <c r="A374" s="18" t="s">
        <v>422</v>
      </c>
      <c r="B374" s="19" t="n">
        <v>45376</v>
      </c>
      <c r="C374" s="18" t="s">
        <v>39</v>
      </c>
      <c r="D374" s="18" t="s">
        <v>28</v>
      </c>
      <c r="E374" s="18" t="s">
        <v>29</v>
      </c>
      <c r="F374" s="20" t="n">
        <v>19563</v>
      </c>
      <c r="G374" s="20" t="n">
        <v>2269.31</v>
      </c>
      <c r="H374" s="18" t="n">
        <v>3</v>
      </c>
    </row>
    <row r="375" customFormat="false" ht="15" hidden="false" customHeight="true" outlineLevel="0" collapsed="false">
      <c r="A375" s="18" t="s">
        <v>423</v>
      </c>
      <c r="B375" s="19" t="n">
        <v>45339</v>
      </c>
      <c r="C375" s="18" t="s">
        <v>19</v>
      </c>
      <c r="D375" s="18" t="s">
        <v>52</v>
      </c>
      <c r="E375" s="18" t="s">
        <v>32</v>
      </c>
      <c r="F375" s="20" t="n">
        <v>4576</v>
      </c>
      <c r="G375" s="20" t="n">
        <v>388.96</v>
      </c>
      <c r="H375" s="18" t="n">
        <v>1</v>
      </c>
    </row>
    <row r="376" customFormat="false" ht="15" hidden="false" customHeight="true" outlineLevel="0" collapsed="false">
      <c r="A376" s="18" t="s">
        <v>424</v>
      </c>
      <c r="B376" s="19" t="n">
        <v>45372</v>
      </c>
      <c r="C376" s="18" t="s">
        <v>19</v>
      </c>
      <c r="D376" s="18" t="s">
        <v>120</v>
      </c>
      <c r="E376" s="18" t="s">
        <v>29</v>
      </c>
      <c r="F376" s="20" t="n">
        <v>33662</v>
      </c>
      <c r="G376" s="20" t="n">
        <v>4140.43</v>
      </c>
      <c r="H376" s="18" t="n">
        <v>2</v>
      </c>
    </row>
    <row r="377" customFormat="false" ht="15" hidden="false" customHeight="true" outlineLevel="0" collapsed="false">
      <c r="A377" s="18" t="s">
        <v>425</v>
      </c>
      <c r="B377" s="19" t="n">
        <v>45319</v>
      </c>
      <c r="C377" s="18" t="s">
        <v>23</v>
      </c>
      <c r="D377" s="18" t="s">
        <v>62</v>
      </c>
      <c r="E377" s="18" t="s">
        <v>50</v>
      </c>
      <c r="F377" s="20" t="n">
        <v>522</v>
      </c>
      <c r="G377" s="20" t="n">
        <v>134.68</v>
      </c>
      <c r="H377" s="18" t="n">
        <v>9</v>
      </c>
    </row>
    <row r="378" customFormat="false" ht="15" hidden="false" customHeight="true" outlineLevel="0" collapsed="false">
      <c r="A378" s="18" t="s">
        <v>426</v>
      </c>
      <c r="B378" s="19" t="n">
        <v>45354</v>
      </c>
      <c r="C378" s="18" t="s">
        <v>27</v>
      </c>
      <c r="D378" s="18" t="s">
        <v>55</v>
      </c>
      <c r="E378" s="18" t="s">
        <v>32</v>
      </c>
      <c r="F378" s="20" t="n">
        <v>53596</v>
      </c>
      <c r="G378" s="20" t="n">
        <v>4555.66</v>
      </c>
      <c r="H378" s="18" t="n">
        <v>4</v>
      </c>
    </row>
    <row r="379" customFormat="false" ht="15" hidden="false" customHeight="true" outlineLevel="0" collapsed="false">
      <c r="A379" s="18" t="s">
        <v>427</v>
      </c>
      <c r="B379" s="19" t="n">
        <v>45574</v>
      </c>
      <c r="C379" s="18" t="s">
        <v>23</v>
      </c>
      <c r="D379" s="18" t="s">
        <v>44</v>
      </c>
      <c r="E379" s="18" t="s">
        <v>32</v>
      </c>
      <c r="F379" s="20" t="n">
        <v>13332</v>
      </c>
      <c r="G379" s="20" t="n">
        <v>1733.16</v>
      </c>
      <c r="H379" s="18" t="n">
        <v>3</v>
      </c>
    </row>
    <row r="380" customFormat="false" ht="15" hidden="false" customHeight="true" outlineLevel="0" collapsed="false">
      <c r="A380" s="18" t="s">
        <v>428</v>
      </c>
      <c r="B380" s="19" t="n">
        <v>45523</v>
      </c>
      <c r="C380" s="18" t="s">
        <v>39</v>
      </c>
      <c r="D380" s="18" t="s">
        <v>93</v>
      </c>
      <c r="E380" s="18" t="s">
        <v>32</v>
      </c>
      <c r="F380" s="20" t="n">
        <v>79597</v>
      </c>
      <c r="G380" s="20" t="n">
        <v>11939.55</v>
      </c>
      <c r="H380" s="18" t="n">
        <v>7</v>
      </c>
    </row>
    <row r="381" customFormat="false" ht="15" hidden="false" customHeight="true" outlineLevel="0" collapsed="false">
      <c r="A381" s="18" t="s">
        <v>429</v>
      </c>
      <c r="B381" s="19" t="n">
        <v>45351</v>
      </c>
      <c r="C381" s="18" t="s">
        <v>27</v>
      </c>
      <c r="D381" s="18" t="s">
        <v>62</v>
      </c>
      <c r="E381" s="18" t="s">
        <v>50</v>
      </c>
      <c r="F381" s="20" t="n">
        <v>497</v>
      </c>
      <c r="G381" s="20" t="n">
        <v>153.57</v>
      </c>
      <c r="H381" s="18" t="n">
        <v>7</v>
      </c>
    </row>
    <row r="382" customFormat="false" ht="15" hidden="false" customHeight="true" outlineLevel="0" collapsed="false">
      <c r="A382" s="18" t="s">
        <v>430</v>
      </c>
      <c r="B382" s="19" t="n">
        <v>45395</v>
      </c>
      <c r="C382" s="18" t="s">
        <v>23</v>
      </c>
      <c r="D382" s="18" t="s">
        <v>36</v>
      </c>
      <c r="E382" s="18" t="s">
        <v>25</v>
      </c>
      <c r="F382" s="20" t="n">
        <v>26776</v>
      </c>
      <c r="G382" s="20" t="n">
        <v>8889.63</v>
      </c>
      <c r="H382" s="18" t="n">
        <v>8</v>
      </c>
    </row>
    <row r="383" customFormat="false" ht="15" hidden="false" customHeight="true" outlineLevel="0" collapsed="false">
      <c r="A383" s="18" t="s">
        <v>431</v>
      </c>
      <c r="B383" s="19" t="n">
        <v>45501</v>
      </c>
      <c r="C383" s="18" t="s">
        <v>39</v>
      </c>
      <c r="D383" s="18" t="s">
        <v>55</v>
      </c>
      <c r="E383" s="18" t="s">
        <v>32</v>
      </c>
      <c r="F383" s="20" t="n">
        <v>234944</v>
      </c>
      <c r="G383" s="20" t="n">
        <v>26783.62</v>
      </c>
      <c r="H383" s="18" t="n">
        <v>8</v>
      </c>
    </row>
    <row r="384" customFormat="false" ht="15" hidden="false" customHeight="true" outlineLevel="0" collapsed="false">
      <c r="A384" s="18" t="s">
        <v>432</v>
      </c>
      <c r="B384" s="19" t="n">
        <v>45515</v>
      </c>
      <c r="C384" s="18" t="s">
        <v>41</v>
      </c>
      <c r="D384" s="18" t="s">
        <v>42</v>
      </c>
      <c r="E384" s="18" t="s">
        <v>21</v>
      </c>
      <c r="F384" s="20" t="n">
        <v>147944</v>
      </c>
      <c r="G384" s="20" t="n">
        <v>24410.76</v>
      </c>
      <c r="H384" s="18" t="n">
        <v>8</v>
      </c>
    </row>
    <row r="385" customFormat="false" ht="15" hidden="false" customHeight="true" outlineLevel="0" collapsed="false">
      <c r="A385" s="18" t="s">
        <v>433</v>
      </c>
      <c r="B385" s="19" t="n">
        <v>45406</v>
      </c>
      <c r="C385" s="18" t="s">
        <v>23</v>
      </c>
      <c r="D385" s="18" t="s">
        <v>88</v>
      </c>
      <c r="E385" s="18" t="s">
        <v>50</v>
      </c>
      <c r="F385" s="20" t="n">
        <v>1356</v>
      </c>
      <c r="G385" s="20" t="n">
        <v>402.73</v>
      </c>
      <c r="H385" s="18" t="n">
        <v>6</v>
      </c>
    </row>
    <row r="386" customFormat="false" ht="15" hidden="false" customHeight="true" outlineLevel="0" collapsed="false">
      <c r="A386" s="18" t="s">
        <v>434</v>
      </c>
      <c r="B386" s="19" t="n">
        <v>45552</v>
      </c>
      <c r="C386" s="18" t="s">
        <v>41</v>
      </c>
      <c r="D386" s="18" t="s">
        <v>64</v>
      </c>
      <c r="E386" s="18" t="s">
        <v>32</v>
      </c>
      <c r="F386" s="20" t="n">
        <v>26026</v>
      </c>
      <c r="G386" s="20" t="n">
        <v>2212.21</v>
      </c>
      <c r="H386" s="18" t="n">
        <v>1</v>
      </c>
    </row>
    <row r="387" customFormat="false" ht="15" hidden="false" customHeight="true" outlineLevel="0" collapsed="false">
      <c r="A387" s="18" t="s">
        <v>435</v>
      </c>
      <c r="B387" s="19" t="n">
        <v>45429</v>
      </c>
      <c r="C387" s="18" t="s">
        <v>23</v>
      </c>
      <c r="D387" s="18" t="s">
        <v>64</v>
      </c>
      <c r="E387" s="18" t="s">
        <v>32</v>
      </c>
      <c r="F387" s="20" t="n">
        <v>177894</v>
      </c>
      <c r="G387" s="20" t="n">
        <v>26684.1</v>
      </c>
      <c r="H387" s="18" t="n">
        <v>3</v>
      </c>
    </row>
    <row r="388" customFormat="false" ht="15" hidden="false" customHeight="true" outlineLevel="0" collapsed="false">
      <c r="A388" s="18" t="s">
        <v>436</v>
      </c>
      <c r="B388" s="19" t="n">
        <v>45650</v>
      </c>
      <c r="C388" s="18" t="s">
        <v>41</v>
      </c>
      <c r="D388" s="18" t="s">
        <v>72</v>
      </c>
      <c r="E388" s="18" t="s">
        <v>29</v>
      </c>
      <c r="F388" s="20" t="n">
        <v>6130</v>
      </c>
      <c r="G388" s="20" t="n">
        <v>1219.87</v>
      </c>
      <c r="H388" s="18" t="n">
        <v>1</v>
      </c>
    </row>
    <row r="389" customFormat="false" ht="15" hidden="false" customHeight="true" outlineLevel="0" collapsed="false">
      <c r="A389" s="18" t="s">
        <v>437</v>
      </c>
      <c r="B389" s="19" t="n">
        <v>45414</v>
      </c>
      <c r="C389" s="18" t="s">
        <v>39</v>
      </c>
      <c r="D389" s="18" t="s">
        <v>64</v>
      </c>
      <c r="E389" s="18" t="s">
        <v>32</v>
      </c>
      <c r="F389" s="20" t="n">
        <v>223101</v>
      </c>
      <c r="G389" s="20" t="n">
        <v>32126.54</v>
      </c>
      <c r="H389" s="18" t="n">
        <v>9</v>
      </c>
    </row>
    <row r="390" customFormat="false" ht="15" hidden="false" customHeight="true" outlineLevel="0" collapsed="false">
      <c r="A390" s="18" t="s">
        <v>438</v>
      </c>
      <c r="B390" s="19" t="n">
        <v>45652</v>
      </c>
      <c r="C390" s="18" t="s">
        <v>39</v>
      </c>
      <c r="D390" s="18" t="s">
        <v>106</v>
      </c>
      <c r="E390" s="18" t="s">
        <v>25</v>
      </c>
      <c r="F390" s="20" t="n">
        <v>16784</v>
      </c>
      <c r="G390" s="20" t="n">
        <v>4128.86</v>
      </c>
      <c r="H390" s="18" t="n">
        <v>8</v>
      </c>
    </row>
    <row r="391" customFormat="false" ht="15" hidden="false" customHeight="true" outlineLevel="0" collapsed="false">
      <c r="A391" s="18" t="s">
        <v>439</v>
      </c>
      <c r="B391" s="19" t="n">
        <v>45620</v>
      </c>
      <c r="C391" s="18" t="s">
        <v>27</v>
      </c>
      <c r="D391" s="18" t="s">
        <v>58</v>
      </c>
      <c r="E391" s="18" t="s">
        <v>50</v>
      </c>
      <c r="F391" s="20" t="n">
        <v>609</v>
      </c>
      <c r="G391" s="20" t="n">
        <v>227.77</v>
      </c>
      <c r="H391" s="18" t="n">
        <v>7</v>
      </c>
    </row>
    <row r="392" customFormat="false" ht="15" hidden="false" customHeight="true" outlineLevel="0" collapsed="false">
      <c r="A392" s="18" t="s">
        <v>440</v>
      </c>
      <c r="B392" s="19" t="n">
        <v>45566</v>
      </c>
      <c r="C392" s="18" t="s">
        <v>27</v>
      </c>
      <c r="D392" s="18" t="s">
        <v>55</v>
      </c>
      <c r="E392" s="18" t="s">
        <v>32</v>
      </c>
      <c r="F392" s="20" t="n">
        <v>158976</v>
      </c>
      <c r="G392" s="20" t="n">
        <v>26707.97</v>
      </c>
      <c r="H392" s="18" t="n">
        <v>6</v>
      </c>
    </row>
    <row r="393" customFormat="false" ht="15" hidden="false" customHeight="true" outlineLevel="0" collapsed="false">
      <c r="A393" s="18" t="s">
        <v>441</v>
      </c>
      <c r="B393" s="19" t="n">
        <v>45456</v>
      </c>
      <c r="C393" s="18" t="s">
        <v>41</v>
      </c>
      <c r="D393" s="18" t="s">
        <v>55</v>
      </c>
      <c r="E393" s="18" t="s">
        <v>32</v>
      </c>
      <c r="F393" s="20" t="n">
        <v>188250</v>
      </c>
      <c r="G393" s="20" t="n">
        <v>20895.75</v>
      </c>
      <c r="H393" s="18" t="n">
        <v>6</v>
      </c>
    </row>
    <row r="394" customFormat="false" ht="15" hidden="false" customHeight="true" outlineLevel="0" collapsed="false">
      <c r="A394" s="18" t="s">
        <v>442</v>
      </c>
      <c r="B394" s="19" t="n">
        <v>45455</v>
      </c>
      <c r="C394" s="18" t="s">
        <v>39</v>
      </c>
      <c r="D394" s="18" t="s">
        <v>75</v>
      </c>
      <c r="E394" s="18" t="s">
        <v>29</v>
      </c>
      <c r="F394" s="20" t="n">
        <v>4350</v>
      </c>
      <c r="G394" s="20" t="n">
        <v>630.75</v>
      </c>
      <c r="H394" s="18" t="n">
        <v>2</v>
      </c>
    </row>
    <row r="395" customFormat="false" ht="15" hidden="false" customHeight="true" outlineLevel="0" collapsed="false">
      <c r="A395" s="18" t="s">
        <v>443</v>
      </c>
      <c r="B395" s="19" t="n">
        <v>45385</v>
      </c>
      <c r="C395" s="18" t="s">
        <v>27</v>
      </c>
      <c r="D395" s="18" t="s">
        <v>20</v>
      </c>
      <c r="E395" s="18" t="s">
        <v>21</v>
      </c>
      <c r="F395" s="20" t="n">
        <v>96426</v>
      </c>
      <c r="G395" s="20" t="n">
        <v>14849.6</v>
      </c>
      <c r="H395" s="18" t="n">
        <v>6</v>
      </c>
    </row>
    <row r="396" customFormat="false" ht="15" hidden="false" customHeight="true" outlineLevel="0" collapsed="false">
      <c r="A396" s="18" t="s">
        <v>444</v>
      </c>
      <c r="B396" s="19" t="n">
        <v>45487</v>
      </c>
      <c r="C396" s="18" t="s">
        <v>39</v>
      </c>
      <c r="D396" s="18" t="s">
        <v>75</v>
      </c>
      <c r="E396" s="18" t="s">
        <v>29</v>
      </c>
      <c r="F396" s="20" t="n">
        <v>3240</v>
      </c>
      <c r="G396" s="20" t="n">
        <v>495.72</v>
      </c>
      <c r="H396" s="18" t="n">
        <v>3</v>
      </c>
    </row>
    <row r="397" customFormat="false" ht="15" hidden="false" customHeight="true" outlineLevel="0" collapsed="false">
      <c r="A397" s="18" t="s">
        <v>445</v>
      </c>
      <c r="B397" s="19" t="n">
        <v>45422</v>
      </c>
      <c r="C397" s="18" t="s">
        <v>27</v>
      </c>
      <c r="D397" s="18" t="s">
        <v>36</v>
      </c>
      <c r="E397" s="18" t="s">
        <v>25</v>
      </c>
      <c r="F397" s="20" t="n">
        <v>8744</v>
      </c>
      <c r="G397" s="20" t="n">
        <v>1810.01</v>
      </c>
      <c r="H397" s="18" t="n">
        <v>4</v>
      </c>
    </row>
    <row r="398" customFormat="false" ht="15" hidden="false" customHeight="true" outlineLevel="0" collapsed="false">
      <c r="A398" s="18" t="s">
        <v>446</v>
      </c>
      <c r="B398" s="19" t="n">
        <v>45486</v>
      </c>
      <c r="C398" s="18" t="s">
        <v>23</v>
      </c>
      <c r="D398" s="18" t="s">
        <v>42</v>
      </c>
      <c r="E398" s="18" t="s">
        <v>21</v>
      </c>
      <c r="F398" s="20" t="n">
        <v>104168</v>
      </c>
      <c r="G398" s="20" t="n">
        <v>21354.44</v>
      </c>
      <c r="H398" s="18" t="n">
        <v>8</v>
      </c>
    </row>
    <row r="399" customFormat="false" ht="15" hidden="false" customHeight="true" outlineLevel="0" collapsed="false">
      <c r="A399" s="18" t="s">
        <v>447</v>
      </c>
      <c r="B399" s="19" t="n">
        <v>45526</v>
      </c>
      <c r="C399" s="18" t="s">
        <v>39</v>
      </c>
      <c r="D399" s="18" t="s">
        <v>70</v>
      </c>
      <c r="E399" s="18" t="s">
        <v>21</v>
      </c>
      <c r="F399" s="20" t="n">
        <v>106572</v>
      </c>
      <c r="G399" s="20" t="n">
        <v>13960.93</v>
      </c>
      <c r="H399" s="18" t="n">
        <v>3</v>
      </c>
    </row>
    <row r="400" customFormat="false" ht="15" hidden="false" customHeight="true" outlineLevel="0" collapsed="false">
      <c r="A400" s="18" t="s">
        <v>448</v>
      </c>
      <c r="B400" s="19" t="n">
        <v>45504</v>
      </c>
      <c r="C400" s="18" t="s">
        <v>27</v>
      </c>
      <c r="D400" s="18" t="s">
        <v>96</v>
      </c>
      <c r="E400" s="18" t="s">
        <v>50</v>
      </c>
      <c r="F400" s="20" t="n">
        <v>105</v>
      </c>
      <c r="G400" s="20" t="n">
        <v>32.87</v>
      </c>
      <c r="H400" s="18" t="n">
        <v>3</v>
      </c>
    </row>
    <row r="401" customFormat="false" ht="15" hidden="false" customHeight="true" outlineLevel="0" collapsed="false">
      <c r="A401" s="18" t="s">
        <v>449</v>
      </c>
      <c r="B401" s="19" t="n">
        <v>45410</v>
      </c>
      <c r="C401" s="18" t="s">
        <v>23</v>
      </c>
      <c r="D401" s="18" t="s">
        <v>49</v>
      </c>
      <c r="E401" s="18" t="s">
        <v>50</v>
      </c>
      <c r="F401" s="20" t="n">
        <v>468</v>
      </c>
      <c r="G401" s="20" t="n">
        <v>184.86</v>
      </c>
      <c r="H401" s="18" t="n">
        <v>6</v>
      </c>
    </row>
    <row r="402" customFormat="false" ht="15" hidden="false" customHeight="true" outlineLevel="0" collapsed="false">
      <c r="A402" s="18" t="s">
        <v>450</v>
      </c>
      <c r="B402" s="19" t="n">
        <v>45613</v>
      </c>
      <c r="C402" s="18" t="s">
        <v>39</v>
      </c>
      <c r="D402" s="18" t="s">
        <v>52</v>
      </c>
      <c r="E402" s="18" t="s">
        <v>32</v>
      </c>
      <c r="F402" s="20" t="n">
        <v>38825</v>
      </c>
      <c r="G402" s="20" t="n">
        <v>5746.1</v>
      </c>
      <c r="H402" s="18" t="n">
        <v>5</v>
      </c>
    </row>
    <row r="403" customFormat="false" ht="15" hidden="false" customHeight="true" outlineLevel="0" collapsed="false">
      <c r="A403" s="18" t="s">
        <v>451</v>
      </c>
      <c r="B403" s="19" t="n">
        <v>45376</v>
      </c>
      <c r="C403" s="18" t="s">
        <v>27</v>
      </c>
      <c r="D403" s="18" t="s">
        <v>93</v>
      </c>
      <c r="E403" s="18" t="s">
        <v>32</v>
      </c>
      <c r="F403" s="20" t="n">
        <v>22764</v>
      </c>
      <c r="G403" s="20" t="n">
        <v>2390.22</v>
      </c>
      <c r="H403" s="18" t="n">
        <v>7</v>
      </c>
    </row>
    <row r="404" customFormat="false" ht="15" hidden="false" customHeight="true" outlineLevel="0" collapsed="false">
      <c r="A404" s="18" t="s">
        <v>452</v>
      </c>
      <c r="B404" s="19" t="n">
        <v>45583</v>
      </c>
      <c r="C404" s="18" t="s">
        <v>39</v>
      </c>
      <c r="D404" s="18" t="s">
        <v>46</v>
      </c>
      <c r="E404" s="18" t="s">
        <v>29</v>
      </c>
      <c r="F404" s="20" t="n">
        <v>41510</v>
      </c>
      <c r="G404" s="20" t="n">
        <v>6724.62</v>
      </c>
      <c r="H404" s="18" t="n">
        <v>10</v>
      </c>
    </row>
    <row r="405" customFormat="false" ht="15" hidden="false" customHeight="true" outlineLevel="0" collapsed="false">
      <c r="A405" s="18" t="s">
        <v>453</v>
      </c>
      <c r="B405" s="19" t="n">
        <v>45648</v>
      </c>
      <c r="C405" s="18" t="s">
        <v>39</v>
      </c>
      <c r="D405" s="18" t="s">
        <v>86</v>
      </c>
      <c r="E405" s="18" t="s">
        <v>21</v>
      </c>
      <c r="F405" s="20" t="n">
        <v>115686</v>
      </c>
      <c r="G405" s="20" t="n">
        <v>28805.81</v>
      </c>
      <c r="H405" s="18" t="n">
        <v>2</v>
      </c>
    </row>
    <row r="406" customFormat="false" ht="15" hidden="false" customHeight="true" outlineLevel="0" collapsed="false">
      <c r="A406" s="18" t="s">
        <v>454</v>
      </c>
      <c r="B406" s="19" t="n">
        <v>45435</v>
      </c>
      <c r="C406" s="18" t="s">
        <v>23</v>
      </c>
      <c r="D406" s="18" t="s">
        <v>34</v>
      </c>
      <c r="E406" s="18" t="s">
        <v>25</v>
      </c>
      <c r="F406" s="20" t="n">
        <v>5430</v>
      </c>
      <c r="G406" s="20" t="n">
        <v>955.68</v>
      </c>
      <c r="H406" s="18" t="n">
        <v>10</v>
      </c>
    </row>
    <row r="407" customFormat="false" ht="15" hidden="false" customHeight="true" outlineLevel="0" collapsed="false">
      <c r="A407" s="18" t="s">
        <v>455</v>
      </c>
      <c r="B407" s="19" t="n">
        <v>45434</v>
      </c>
      <c r="C407" s="18" t="s">
        <v>27</v>
      </c>
      <c r="D407" s="18" t="s">
        <v>83</v>
      </c>
      <c r="E407" s="18" t="s">
        <v>21</v>
      </c>
      <c r="F407" s="20" t="n">
        <v>20410</v>
      </c>
      <c r="G407" s="20" t="n">
        <v>2510.43</v>
      </c>
      <c r="H407" s="18" t="n">
        <v>2</v>
      </c>
    </row>
    <row r="408" customFormat="false" ht="15" hidden="false" customHeight="true" outlineLevel="0" collapsed="false">
      <c r="A408" s="18" t="s">
        <v>456</v>
      </c>
      <c r="B408" s="19" t="n">
        <v>45508</v>
      </c>
      <c r="C408" s="18" t="s">
        <v>27</v>
      </c>
      <c r="D408" s="18" t="s">
        <v>62</v>
      </c>
      <c r="E408" s="18" t="s">
        <v>50</v>
      </c>
      <c r="F408" s="20" t="n">
        <v>65</v>
      </c>
      <c r="G408" s="20" t="n">
        <v>13.78</v>
      </c>
      <c r="H408" s="18" t="n">
        <v>1</v>
      </c>
    </row>
    <row r="409" customFormat="false" ht="15" hidden="false" customHeight="true" outlineLevel="0" collapsed="false">
      <c r="A409" s="18" t="s">
        <v>457</v>
      </c>
      <c r="B409" s="19" t="n">
        <v>45428</v>
      </c>
      <c r="C409" s="18" t="s">
        <v>23</v>
      </c>
      <c r="D409" s="18" t="s">
        <v>24</v>
      </c>
      <c r="E409" s="18" t="s">
        <v>25</v>
      </c>
      <c r="F409" s="20" t="n">
        <v>2164</v>
      </c>
      <c r="G409" s="20" t="n">
        <v>755.24</v>
      </c>
      <c r="H409" s="18" t="n">
        <v>1</v>
      </c>
    </row>
    <row r="410" customFormat="false" ht="15" hidden="false" customHeight="true" outlineLevel="0" collapsed="false">
      <c r="A410" s="18" t="s">
        <v>458</v>
      </c>
      <c r="B410" s="19" t="n">
        <v>45455</v>
      </c>
      <c r="C410" s="18" t="s">
        <v>19</v>
      </c>
      <c r="D410" s="18" t="s">
        <v>52</v>
      </c>
      <c r="E410" s="18" t="s">
        <v>32</v>
      </c>
      <c r="F410" s="20" t="n">
        <v>7200</v>
      </c>
      <c r="G410" s="20" t="n">
        <v>698.4</v>
      </c>
      <c r="H410" s="18" t="n">
        <v>2</v>
      </c>
    </row>
    <row r="411" customFormat="false" ht="15" hidden="false" customHeight="true" outlineLevel="0" collapsed="false">
      <c r="A411" s="18" t="s">
        <v>459</v>
      </c>
      <c r="B411" s="19" t="n">
        <v>45580</v>
      </c>
      <c r="C411" s="18" t="s">
        <v>39</v>
      </c>
      <c r="D411" s="18" t="s">
        <v>46</v>
      </c>
      <c r="E411" s="18" t="s">
        <v>29</v>
      </c>
      <c r="F411" s="20" t="n">
        <v>58023</v>
      </c>
      <c r="G411" s="20" t="n">
        <v>9747.86</v>
      </c>
      <c r="H411" s="18" t="n">
        <v>9</v>
      </c>
    </row>
    <row r="412" customFormat="false" ht="15" hidden="false" customHeight="true" outlineLevel="0" collapsed="false">
      <c r="A412" s="18" t="s">
        <v>460</v>
      </c>
      <c r="B412" s="19" t="n">
        <v>45335</v>
      </c>
      <c r="C412" s="18" t="s">
        <v>19</v>
      </c>
      <c r="D412" s="18" t="s">
        <v>20</v>
      </c>
      <c r="E412" s="18" t="s">
        <v>21</v>
      </c>
      <c r="F412" s="20" t="n">
        <v>38814</v>
      </c>
      <c r="G412" s="20" t="n">
        <v>6753.64</v>
      </c>
      <c r="H412" s="18" t="n">
        <v>6</v>
      </c>
    </row>
    <row r="413" customFormat="false" ht="15" hidden="false" customHeight="true" outlineLevel="0" collapsed="false">
      <c r="A413" s="18" t="s">
        <v>461</v>
      </c>
      <c r="B413" s="19" t="n">
        <v>45472</v>
      </c>
      <c r="C413" s="18" t="s">
        <v>23</v>
      </c>
      <c r="D413" s="18" t="s">
        <v>55</v>
      </c>
      <c r="E413" s="18" t="s">
        <v>32</v>
      </c>
      <c r="F413" s="20" t="n">
        <v>211300</v>
      </c>
      <c r="G413" s="20" t="n">
        <v>26412.5</v>
      </c>
      <c r="H413" s="18" t="n">
        <v>5</v>
      </c>
    </row>
    <row r="414" customFormat="false" ht="15" hidden="false" customHeight="true" outlineLevel="0" collapsed="false">
      <c r="A414" s="18" t="s">
        <v>462</v>
      </c>
      <c r="B414" s="19" t="n">
        <v>45539</v>
      </c>
      <c r="C414" s="18" t="s">
        <v>19</v>
      </c>
      <c r="D414" s="18" t="s">
        <v>91</v>
      </c>
      <c r="E414" s="18" t="s">
        <v>25</v>
      </c>
      <c r="F414" s="20" t="n">
        <v>43130</v>
      </c>
      <c r="G414" s="20" t="n">
        <v>10998.15</v>
      </c>
      <c r="H414" s="18" t="n">
        <v>10</v>
      </c>
    </row>
    <row r="415" customFormat="false" ht="15" hidden="false" customHeight="true" outlineLevel="0" collapsed="false">
      <c r="A415" s="18" t="s">
        <v>463</v>
      </c>
      <c r="B415" s="19" t="n">
        <v>45476</v>
      </c>
      <c r="C415" s="18" t="s">
        <v>39</v>
      </c>
      <c r="D415" s="18" t="s">
        <v>83</v>
      </c>
      <c r="E415" s="18" t="s">
        <v>21</v>
      </c>
      <c r="F415" s="20" t="n">
        <v>60630</v>
      </c>
      <c r="G415" s="20" t="n">
        <v>11277.18</v>
      </c>
      <c r="H415" s="18" t="n">
        <v>6</v>
      </c>
    </row>
    <row r="416" customFormat="false" ht="15" hidden="false" customHeight="true" outlineLevel="0" collapsed="false">
      <c r="A416" s="18" t="s">
        <v>464</v>
      </c>
      <c r="B416" s="19" t="n">
        <v>45294</v>
      </c>
      <c r="C416" s="18" t="s">
        <v>39</v>
      </c>
      <c r="D416" s="18" t="s">
        <v>42</v>
      </c>
      <c r="E416" s="18" t="s">
        <v>21</v>
      </c>
      <c r="F416" s="20" t="n">
        <v>54678</v>
      </c>
      <c r="G416" s="20" t="n">
        <v>7490.89</v>
      </c>
      <c r="H416" s="18" t="n">
        <v>6</v>
      </c>
    </row>
    <row r="417" customFormat="false" ht="15" hidden="false" customHeight="true" outlineLevel="0" collapsed="false">
      <c r="A417" s="18" t="s">
        <v>465</v>
      </c>
      <c r="B417" s="19" t="n">
        <v>45497</v>
      </c>
      <c r="C417" s="18" t="s">
        <v>41</v>
      </c>
      <c r="D417" s="18" t="s">
        <v>46</v>
      </c>
      <c r="E417" s="18" t="s">
        <v>29</v>
      </c>
      <c r="F417" s="20" t="n">
        <v>60201</v>
      </c>
      <c r="G417" s="20" t="n">
        <v>8187.34</v>
      </c>
      <c r="H417" s="18" t="n">
        <v>9</v>
      </c>
    </row>
    <row r="418" customFormat="false" ht="15" hidden="false" customHeight="true" outlineLevel="0" collapsed="false">
      <c r="A418" s="18" t="s">
        <v>466</v>
      </c>
      <c r="B418" s="19" t="n">
        <v>45351</v>
      </c>
      <c r="C418" s="18" t="s">
        <v>41</v>
      </c>
      <c r="D418" s="18" t="s">
        <v>36</v>
      </c>
      <c r="E418" s="18" t="s">
        <v>25</v>
      </c>
      <c r="F418" s="20" t="n">
        <v>1579</v>
      </c>
      <c r="G418" s="20" t="n">
        <v>505.28</v>
      </c>
      <c r="H418" s="18" t="n">
        <v>1</v>
      </c>
    </row>
    <row r="419" customFormat="false" ht="15" hidden="false" customHeight="true" outlineLevel="0" collapsed="false">
      <c r="A419" s="18" t="s">
        <v>467</v>
      </c>
      <c r="B419" s="19" t="n">
        <v>45573</v>
      </c>
      <c r="C419" s="18" t="s">
        <v>41</v>
      </c>
      <c r="D419" s="18" t="s">
        <v>55</v>
      </c>
      <c r="E419" s="18" t="s">
        <v>32</v>
      </c>
      <c r="F419" s="20" t="n">
        <v>319620</v>
      </c>
      <c r="G419" s="20" t="n">
        <v>54015.78</v>
      </c>
      <c r="H419" s="18" t="n">
        <v>10</v>
      </c>
    </row>
    <row r="420" customFormat="false" ht="15" hidden="false" customHeight="true" outlineLevel="0" collapsed="false">
      <c r="A420" s="18" t="s">
        <v>468</v>
      </c>
      <c r="B420" s="19" t="n">
        <v>45447</v>
      </c>
      <c r="C420" s="18" t="s">
        <v>27</v>
      </c>
      <c r="D420" s="18" t="s">
        <v>52</v>
      </c>
      <c r="E420" s="18" t="s">
        <v>32</v>
      </c>
      <c r="F420" s="20" t="n">
        <v>5446</v>
      </c>
      <c r="G420" s="20" t="n">
        <v>920.37</v>
      </c>
      <c r="H420" s="18" t="n">
        <v>2</v>
      </c>
    </row>
    <row r="421" customFormat="false" ht="15" hidden="false" customHeight="true" outlineLevel="0" collapsed="false">
      <c r="A421" s="18" t="s">
        <v>469</v>
      </c>
      <c r="B421" s="19" t="n">
        <v>45630</v>
      </c>
      <c r="C421" s="18" t="s">
        <v>41</v>
      </c>
      <c r="D421" s="18" t="s">
        <v>96</v>
      </c>
      <c r="E421" s="18" t="s">
        <v>50</v>
      </c>
      <c r="F421" s="20" t="n">
        <v>279</v>
      </c>
      <c r="G421" s="20" t="n">
        <v>68.08</v>
      </c>
      <c r="H421" s="18" t="n">
        <v>3</v>
      </c>
    </row>
    <row r="422" customFormat="false" ht="15" hidden="false" customHeight="true" outlineLevel="0" collapsed="false">
      <c r="A422" s="18" t="s">
        <v>470</v>
      </c>
      <c r="B422" s="19" t="n">
        <v>45362</v>
      </c>
      <c r="C422" s="18" t="s">
        <v>39</v>
      </c>
      <c r="D422" s="18" t="s">
        <v>55</v>
      </c>
      <c r="E422" s="18" t="s">
        <v>32</v>
      </c>
      <c r="F422" s="20" t="n">
        <v>93140</v>
      </c>
      <c r="G422" s="20" t="n">
        <v>12201.34</v>
      </c>
      <c r="H422" s="18" t="n">
        <v>5</v>
      </c>
    </row>
    <row r="423" customFormat="false" ht="15" hidden="false" customHeight="true" outlineLevel="0" collapsed="false">
      <c r="A423" s="18" t="s">
        <v>471</v>
      </c>
      <c r="B423" s="19" t="n">
        <v>45599</v>
      </c>
      <c r="C423" s="18" t="s">
        <v>27</v>
      </c>
      <c r="D423" s="18" t="s">
        <v>55</v>
      </c>
      <c r="E423" s="18" t="s">
        <v>32</v>
      </c>
      <c r="F423" s="20" t="n">
        <v>58482</v>
      </c>
      <c r="G423" s="20" t="n">
        <v>5965.16</v>
      </c>
      <c r="H423" s="18" t="n">
        <v>2</v>
      </c>
    </row>
    <row r="424" customFormat="false" ht="15" hidden="false" customHeight="true" outlineLevel="0" collapsed="false">
      <c r="A424" s="18" t="s">
        <v>472</v>
      </c>
      <c r="B424" s="19" t="n">
        <v>45645</v>
      </c>
      <c r="C424" s="18" t="s">
        <v>39</v>
      </c>
      <c r="D424" s="18" t="s">
        <v>106</v>
      </c>
      <c r="E424" s="18" t="s">
        <v>25</v>
      </c>
      <c r="F424" s="20" t="n">
        <v>12170</v>
      </c>
      <c r="G424" s="20" t="n">
        <v>4247.33</v>
      </c>
      <c r="H424" s="18" t="n">
        <v>5</v>
      </c>
    </row>
    <row r="425" customFormat="false" ht="15" hidden="false" customHeight="true" outlineLevel="0" collapsed="false">
      <c r="A425" s="18" t="s">
        <v>473</v>
      </c>
      <c r="B425" s="19" t="n">
        <v>45481</v>
      </c>
      <c r="C425" s="18" t="s">
        <v>19</v>
      </c>
      <c r="D425" s="18" t="s">
        <v>62</v>
      </c>
      <c r="E425" s="18" t="s">
        <v>50</v>
      </c>
      <c r="F425" s="20" t="n">
        <v>372</v>
      </c>
      <c r="G425" s="20" t="n">
        <v>84.82</v>
      </c>
      <c r="H425" s="18" t="n">
        <v>2</v>
      </c>
    </row>
    <row r="426" customFormat="false" ht="15" hidden="false" customHeight="true" outlineLevel="0" collapsed="false">
      <c r="A426" s="18" t="s">
        <v>247</v>
      </c>
      <c r="B426" s="19" t="n">
        <v>45392</v>
      </c>
      <c r="C426" s="18" t="s">
        <v>27</v>
      </c>
      <c r="D426" s="18" t="s">
        <v>52</v>
      </c>
      <c r="E426" s="18" t="s">
        <v>32</v>
      </c>
      <c r="F426" s="20"/>
      <c r="G426" s="20" t="n">
        <v>800.69</v>
      </c>
      <c r="H426" s="18" t="n">
        <v>3</v>
      </c>
    </row>
    <row r="427" customFormat="false" ht="15" hidden="false" customHeight="true" outlineLevel="0" collapsed="false">
      <c r="A427" s="18" t="s">
        <v>474</v>
      </c>
      <c r="B427" s="19" t="n">
        <v>45632</v>
      </c>
      <c r="C427" s="18" t="s">
        <v>27</v>
      </c>
      <c r="D427" s="18" t="s">
        <v>91</v>
      </c>
      <c r="E427" s="18" t="s">
        <v>25</v>
      </c>
      <c r="F427" s="20" t="n">
        <v>2378</v>
      </c>
      <c r="G427" s="20" t="n">
        <v>642.06</v>
      </c>
      <c r="H427" s="18" t="n">
        <v>1</v>
      </c>
    </row>
    <row r="428" customFormat="false" ht="15" hidden="false" customHeight="true" outlineLevel="0" collapsed="false">
      <c r="A428" s="18" t="s">
        <v>475</v>
      </c>
      <c r="B428" s="19" t="n">
        <v>45620</v>
      </c>
      <c r="C428" s="18" t="s">
        <v>23</v>
      </c>
      <c r="D428" s="18" t="s">
        <v>120</v>
      </c>
      <c r="E428" s="18" t="s">
        <v>29</v>
      </c>
      <c r="F428" s="20" t="n">
        <v>26612</v>
      </c>
      <c r="G428" s="20" t="n">
        <v>4470.82</v>
      </c>
      <c r="H428" s="18" t="n">
        <v>4</v>
      </c>
    </row>
    <row r="429" customFormat="false" ht="15" hidden="false" customHeight="true" outlineLevel="0" collapsed="false">
      <c r="A429" s="18" t="s">
        <v>476</v>
      </c>
      <c r="B429" s="19" t="n">
        <v>45630</v>
      </c>
      <c r="C429" s="18" t="s">
        <v>27</v>
      </c>
      <c r="D429" s="18" t="s">
        <v>120</v>
      </c>
      <c r="E429" s="18" t="s">
        <v>29</v>
      </c>
      <c r="F429" s="20" t="n">
        <v>9943</v>
      </c>
      <c r="G429" s="20" t="n">
        <v>1203.1</v>
      </c>
      <c r="H429" s="18" t="n">
        <v>1</v>
      </c>
    </row>
    <row r="430" customFormat="false" ht="15" hidden="false" customHeight="true" outlineLevel="0" collapsed="false">
      <c r="A430" s="18" t="s">
        <v>477</v>
      </c>
      <c r="B430" s="19" t="n">
        <v>45518</v>
      </c>
      <c r="C430" s="18" t="s">
        <v>27</v>
      </c>
      <c r="D430" s="18" t="s">
        <v>83</v>
      </c>
      <c r="E430" s="18" t="s">
        <v>21</v>
      </c>
      <c r="F430" s="20" t="n">
        <v>43576</v>
      </c>
      <c r="G430" s="20" t="n">
        <v>5882.76</v>
      </c>
      <c r="H430" s="18" t="n">
        <v>4</v>
      </c>
    </row>
    <row r="431" customFormat="false" ht="15" hidden="false" customHeight="true" outlineLevel="0" collapsed="false">
      <c r="A431" s="18" t="s">
        <v>478</v>
      </c>
      <c r="B431" s="19" t="n">
        <v>45394</v>
      </c>
      <c r="C431" s="18" t="s">
        <v>39</v>
      </c>
      <c r="D431" s="18" t="s">
        <v>42</v>
      </c>
      <c r="E431" s="18" t="s">
        <v>21</v>
      </c>
      <c r="F431" s="20" t="n">
        <v>35440</v>
      </c>
      <c r="G431" s="20" t="n">
        <v>5918.48</v>
      </c>
      <c r="H431" s="18" t="n">
        <v>8</v>
      </c>
    </row>
    <row r="432" customFormat="false" ht="15" hidden="false" customHeight="true" outlineLevel="0" collapsed="false">
      <c r="A432" s="18" t="s">
        <v>479</v>
      </c>
      <c r="B432" s="19" t="n">
        <v>45338</v>
      </c>
      <c r="C432" s="18" t="s">
        <v>23</v>
      </c>
      <c r="D432" s="18" t="s">
        <v>55</v>
      </c>
      <c r="E432" s="18" t="s">
        <v>32</v>
      </c>
      <c r="F432" s="20" t="n">
        <v>57540</v>
      </c>
      <c r="G432" s="20" t="n">
        <v>8285.76</v>
      </c>
      <c r="H432" s="18" t="n">
        <v>2</v>
      </c>
    </row>
    <row r="433" customFormat="false" ht="15" hidden="false" customHeight="true" outlineLevel="0" collapsed="false">
      <c r="A433" s="18" t="s">
        <v>480</v>
      </c>
      <c r="B433" s="19" t="n">
        <v>45468</v>
      </c>
      <c r="C433" s="18" t="s">
        <v>23</v>
      </c>
      <c r="D433" s="18" t="s">
        <v>83</v>
      </c>
      <c r="E433" s="18" t="s">
        <v>21</v>
      </c>
      <c r="F433" s="20" t="n">
        <v>10027</v>
      </c>
      <c r="G433" s="20" t="n">
        <v>1905.13</v>
      </c>
      <c r="H433" s="18" t="n">
        <v>1</v>
      </c>
    </row>
    <row r="434" customFormat="false" ht="15" hidden="false" customHeight="true" outlineLevel="0" collapsed="false">
      <c r="A434" s="18" t="s">
        <v>481</v>
      </c>
      <c r="B434" s="19" t="n">
        <v>45434</v>
      </c>
      <c r="C434" s="18" t="s">
        <v>27</v>
      </c>
      <c r="D434" s="18" t="s">
        <v>20</v>
      </c>
      <c r="E434" s="18" t="s">
        <v>21</v>
      </c>
      <c r="F434" s="20" t="n">
        <v>46503</v>
      </c>
      <c r="G434" s="20" t="n">
        <v>9951.64</v>
      </c>
      <c r="H434" s="18" t="n">
        <v>9</v>
      </c>
    </row>
    <row r="435" customFormat="false" ht="15" hidden="false" customHeight="true" outlineLevel="0" collapsed="false">
      <c r="A435" s="18" t="s">
        <v>482</v>
      </c>
      <c r="B435" s="19" t="n">
        <v>45315</v>
      </c>
      <c r="C435" s="18" t="s">
        <v>41</v>
      </c>
      <c r="D435" s="18" t="s">
        <v>93</v>
      </c>
      <c r="E435" s="18" t="s">
        <v>32</v>
      </c>
      <c r="F435" s="20" t="n">
        <v>88032</v>
      </c>
      <c r="G435" s="20" t="n">
        <v>11180.06</v>
      </c>
      <c r="H435" s="18" t="n">
        <v>6</v>
      </c>
    </row>
    <row r="436" customFormat="false" ht="15" hidden="false" customHeight="true" outlineLevel="0" collapsed="false">
      <c r="A436" s="18" t="s">
        <v>483</v>
      </c>
      <c r="B436" s="19" t="n">
        <v>45429</v>
      </c>
      <c r="C436" s="18" t="s">
        <v>27</v>
      </c>
      <c r="D436" s="18" t="s">
        <v>120</v>
      </c>
      <c r="E436" s="18" t="s">
        <v>29</v>
      </c>
      <c r="F436" s="20" t="n">
        <v>18158</v>
      </c>
      <c r="G436" s="20" t="n">
        <v>2614.75</v>
      </c>
      <c r="H436" s="18" t="n">
        <v>2</v>
      </c>
    </row>
    <row r="437" customFormat="false" ht="15" hidden="false" customHeight="true" outlineLevel="0" collapsed="false">
      <c r="A437" s="18" t="s">
        <v>484</v>
      </c>
      <c r="B437" s="19" t="n">
        <v>45364</v>
      </c>
      <c r="C437" s="18" t="s">
        <v>41</v>
      </c>
      <c r="D437" s="18" t="s">
        <v>28</v>
      </c>
      <c r="E437" s="18" t="s">
        <v>29</v>
      </c>
      <c r="F437" s="20" t="n">
        <v>15564</v>
      </c>
      <c r="G437" s="20" t="n">
        <v>2132.27</v>
      </c>
      <c r="H437" s="18" t="n">
        <v>6</v>
      </c>
    </row>
    <row r="438" customFormat="false" ht="15" hidden="false" customHeight="true" outlineLevel="0" collapsed="false">
      <c r="A438" s="18" t="s">
        <v>404</v>
      </c>
      <c r="B438" s="19" t="n">
        <v>45628</v>
      </c>
      <c r="C438" s="18" t="s">
        <v>19</v>
      </c>
      <c r="D438" s="18" t="s">
        <v>44</v>
      </c>
      <c r="E438" s="18" t="s">
        <v>32</v>
      </c>
      <c r="F438" s="20" t="n">
        <v>12620</v>
      </c>
      <c r="G438" s="20" t="n">
        <v>1716.32</v>
      </c>
      <c r="H438" s="18" t="n">
        <v>10</v>
      </c>
    </row>
    <row r="439" customFormat="false" ht="15" hidden="false" customHeight="true" outlineLevel="0" collapsed="false">
      <c r="A439" s="18" t="s">
        <v>485</v>
      </c>
      <c r="B439" s="19" t="n">
        <v>45370</v>
      </c>
      <c r="C439" s="18" t="s">
        <v>19</v>
      </c>
      <c r="D439" s="18" t="s">
        <v>36</v>
      </c>
      <c r="E439" s="18" t="s">
        <v>25</v>
      </c>
      <c r="F439" s="20" t="n">
        <v>17754</v>
      </c>
      <c r="G439" s="20" t="n">
        <v>6054.11</v>
      </c>
      <c r="H439" s="18" t="n">
        <v>3</v>
      </c>
    </row>
    <row r="440" customFormat="false" ht="15" hidden="false" customHeight="true" outlineLevel="0" collapsed="false">
      <c r="A440" s="18" t="s">
        <v>486</v>
      </c>
      <c r="B440" s="19" t="n">
        <v>45339</v>
      </c>
      <c r="C440" s="18" t="s">
        <v>19</v>
      </c>
      <c r="D440" s="18" t="s">
        <v>42</v>
      </c>
      <c r="E440" s="18" t="s">
        <v>21</v>
      </c>
      <c r="F440" s="20" t="n">
        <v>107338</v>
      </c>
      <c r="G440" s="20" t="n">
        <v>16315.38</v>
      </c>
      <c r="H440" s="18" t="n">
        <v>7</v>
      </c>
    </row>
    <row r="441" customFormat="false" ht="15" hidden="false" customHeight="true" outlineLevel="0" collapsed="false">
      <c r="A441" s="18" t="s">
        <v>487</v>
      </c>
      <c r="B441" s="19" t="n">
        <v>45354</v>
      </c>
      <c r="C441" s="18" t="s">
        <v>41</v>
      </c>
      <c r="D441" s="18" t="s">
        <v>42</v>
      </c>
      <c r="E441" s="18" t="s">
        <v>21</v>
      </c>
      <c r="F441" s="20" t="n">
        <v>101276</v>
      </c>
      <c r="G441" s="20" t="n">
        <v>22584.55</v>
      </c>
      <c r="H441" s="18" t="n">
        <v>7</v>
      </c>
    </row>
    <row r="442" customFormat="false" ht="15" hidden="false" customHeight="true" outlineLevel="0" collapsed="false">
      <c r="A442" s="18" t="s">
        <v>488</v>
      </c>
      <c r="B442" s="19" t="n">
        <v>45492</v>
      </c>
      <c r="C442" s="18" t="s">
        <v>23</v>
      </c>
      <c r="D442" s="18" t="s">
        <v>86</v>
      </c>
      <c r="E442" s="18" t="s">
        <v>21</v>
      </c>
      <c r="F442" s="20" t="n">
        <v>103599</v>
      </c>
      <c r="G442" s="20" t="n">
        <v>21548.59</v>
      </c>
      <c r="H442" s="18" t="n">
        <v>3</v>
      </c>
    </row>
    <row r="443" customFormat="false" ht="15" hidden="false" customHeight="true" outlineLevel="0" collapsed="false">
      <c r="A443" s="18" t="s">
        <v>489</v>
      </c>
      <c r="B443" s="19" t="n">
        <v>45495</v>
      </c>
      <c r="C443" s="18" t="s">
        <v>27</v>
      </c>
      <c r="D443" s="18" t="s">
        <v>96</v>
      </c>
      <c r="E443" s="18" t="s">
        <v>50</v>
      </c>
      <c r="F443" s="20" t="n">
        <v>180</v>
      </c>
      <c r="G443" s="20" t="n">
        <v>59.04</v>
      </c>
      <c r="H443" s="18" t="n">
        <v>5</v>
      </c>
    </row>
    <row r="444" customFormat="false" ht="15" hidden="false" customHeight="true" outlineLevel="0" collapsed="false">
      <c r="A444" s="18" t="s">
        <v>490</v>
      </c>
      <c r="B444" s="19" t="n">
        <v>45640</v>
      </c>
      <c r="C444" s="18" t="s">
        <v>39</v>
      </c>
      <c r="D444" s="18" t="s">
        <v>91</v>
      </c>
      <c r="E444" s="18" t="s">
        <v>25</v>
      </c>
      <c r="F444" s="20" t="n">
        <v>3884</v>
      </c>
      <c r="G444" s="20" t="n">
        <v>967.12</v>
      </c>
      <c r="H444" s="18" t="n">
        <v>1</v>
      </c>
    </row>
    <row r="445" customFormat="false" ht="15" hidden="false" customHeight="true" outlineLevel="0" collapsed="false">
      <c r="A445" s="18" t="s">
        <v>491</v>
      </c>
      <c r="B445" s="19" t="n">
        <v>45317</v>
      </c>
      <c r="C445" s="18" t="s">
        <v>41</v>
      </c>
      <c r="D445" s="18" t="s">
        <v>83</v>
      </c>
      <c r="E445" s="18" t="s">
        <v>21</v>
      </c>
      <c r="F445" s="20" t="n">
        <v>75576</v>
      </c>
      <c r="G445" s="20" t="n">
        <v>13830.41</v>
      </c>
      <c r="H445" s="18" t="n">
        <v>8</v>
      </c>
    </row>
    <row r="446" customFormat="false" ht="15" hidden="false" customHeight="true" outlineLevel="0" collapsed="false">
      <c r="A446" s="18" t="s">
        <v>492</v>
      </c>
      <c r="B446" s="19" t="n">
        <v>45585</v>
      </c>
      <c r="C446" s="18" t="s">
        <v>19</v>
      </c>
      <c r="D446" s="18" t="s">
        <v>62</v>
      </c>
      <c r="E446" s="18" t="s">
        <v>50</v>
      </c>
      <c r="F446" s="20" t="n">
        <v>657</v>
      </c>
      <c r="G446" s="20" t="n">
        <v>211.55</v>
      </c>
      <c r="H446" s="18" t="n">
        <v>9</v>
      </c>
    </row>
    <row r="447" customFormat="false" ht="15" hidden="false" customHeight="true" outlineLevel="0" collapsed="false">
      <c r="A447" s="18" t="s">
        <v>493</v>
      </c>
      <c r="B447" s="19" t="n">
        <v>45578</v>
      </c>
      <c r="C447" s="18" t="s">
        <v>27</v>
      </c>
      <c r="D447" s="18" t="s">
        <v>62</v>
      </c>
      <c r="E447" s="18" t="s">
        <v>50</v>
      </c>
      <c r="F447" s="20" t="n">
        <v>572</v>
      </c>
      <c r="G447" s="20" t="n">
        <v>186.47</v>
      </c>
      <c r="H447" s="18" t="n">
        <v>4</v>
      </c>
    </row>
    <row r="448" customFormat="false" ht="15" hidden="false" customHeight="true" outlineLevel="0" collapsed="false">
      <c r="A448" s="18" t="s">
        <v>494</v>
      </c>
      <c r="B448" s="19" t="n">
        <v>45316</v>
      </c>
      <c r="C448" s="18" t="s">
        <v>39</v>
      </c>
      <c r="D448" s="18" t="s">
        <v>91</v>
      </c>
      <c r="E448" s="18" t="s">
        <v>25</v>
      </c>
      <c r="F448" s="20" t="n">
        <v>2847</v>
      </c>
      <c r="G448" s="20" t="n">
        <v>677.59</v>
      </c>
      <c r="H448" s="18" t="n">
        <v>1</v>
      </c>
    </row>
    <row r="449" customFormat="false" ht="15" hidden="false" customHeight="true" outlineLevel="0" collapsed="false">
      <c r="A449" s="18" t="s">
        <v>495</v>
      </c>
      <c r="B449" s="19" t="n">
        <v>45590</v>
      </c>
      <c r="C449" s="18" t="s">
        <v>23</v>
      </c>
      <c r="D449" s="18" t="s">
        <v>20</v>
      </c>
      <c r="E449" s="18" t="s">
        <v>21</v>
      </c>
      <c r="F449" s="20" t="n">
        <v>89418</v>
      </c>
      <c r="G449" s="20" t="n">
        <v>19046.03</v>
      </c>
      <c r="H449" s="18" t="n">
        <v>6</v>
      </c>
    </row>
    <row r="450" customFormat="false" ht="15" hidden="false" customHeight="true" outlineLevel="0" collapsed="false">
      <c r="A450" s="18" t="s">
        <v>496</v>
      </c>
      <c r="B450" s="19" t="n">
        <v>45394</v>
      </c>
      <c r="C450" s="18" t="s">
        <v>23</v>
      </c>
      <c r="D450" s="18" t="s">
        <v>93</v>
      </c>
      <c r="E450" s="18" t="s">
        <v>32</v>
      </c>
      <c r="F450" s="20" t="n">
        <v>11770</v>
      </c>
      <c r="G450" s="20" t="n">
        <v>1694.88</v>
      </c>
      <c r="H450" s="18" t="n">
        <v>5</v>
      </c>
    </row>
    <row r="451" customFormat="false" ht="15" hidden="false" customHeight="true" outlineLevel="0" collapsed="false">
      <c r="A451" s="18" t="s">
        <v>497</v>
      </c>
      <c r="B451" s="19" t="n">
        <v>45352</v>
      </c>
      <c r="C451" s="18" t="s">
        <v>27</v>
      </c>
      <c r="D451" s="18" t="s">
        <v>64</v>
      </c>
      <c r="E451" s="18" t="s">
        <v>32</v>
      </c>
      <c r="F451" s="20" t="n">
        <v>480310</v>
      </c>
      <c r="G451" s="20" t="n">
        <v>83573.94</v>
      </c>
      <c r="H451" s="18" t="n">
        <v>10</v>
      </c>
    </row>
    <row r="452" customFormat="false" ht="15" hidden="false" customHeight="true" outlineLevel="0" collapsed="false">
      <c r="A452" s="18" t="s">
        <v>498</v>
      </c>
      <c r="B452" s="19" t="n">
        <v>45591</v>
      </c>
      <c r="C452" s="18" t="s">
        <v>39</v>
      </c>
      <c r="D452" s="18" t="s">
        <v>44</v>
      </c>
      <c r="E452" s="18" t="s">
        <v>32</v>
      </c>
      <c r="F452" s="20" t="n">
        <v>5860</v>
      </c>
      <c r="G452" s="20" t="n">
        <v>855.56</v>
      </c>
      <c r="H452" s="18" t="n">
        <v>2</v>
      </c>
    </row>
    <row r="453" customFormat="false" ht="15" hidden="false" customHeight="true" outlineLevel="0" collapsed="false">
      <c r="A453" s="18" t="s">
        <v>499</v>
      </c>
      <c r="B453" s="19" t="n">
        <v>45541</v>
      </c>
      <c r="C453" s="18" t="s">
        <v>23</v>
      </c>
      <c r="D453" s="18" t="s">
        <v>52</v>
      </c>
      <c r="E453" s="18" t="s">
        <v>32</v>
      </c>
      <c r="F453" s="20" t="n">
        <v>18264</v>
      </c>
      <c r="G453" s="20" t="n">
        <v>2575.22</v>
      </c>
      <c r="H453" s="18" t="n">
        <v>3</v>
      </c>
    </row>
    <row r="454" customFormat="false" ht="15" hidden="false" customHeight="true" outlineLevel="0" collapsed="false">
      <c r="A454" s="18" t="s">
        <v>500</v>
      </c>
      <c r="B454" s="19" t="n">
        <v>45370</v>
      </c>
      <c r="C454" s="18" t="s">
        <v>41</v>
      </c>
      <c r="D454" s="18" t="s">
        <v>62</v>
      </c>
      <c r="E454" s="18" t="s">
        <v>50</v>
      </c>
      <c r="F454" s="20" t="n">
        <v>294</v>
      </c>
      <c r="G454" s="20" t="n">
        <v>64.09</v>
      </c>
      <c r="H454" s="18" t="n">
        <v>6</v>
      </c>
    </row>
    <row r="455" customFormat="false" ht="15" hidden="false" customHeight="true" outlineLevel="0" collapsed="false">
      <c r="A455" s="18" t="s">
        <v>501</v>
      </c>
      <c r="B455" s="19" t="n">
        <v>45622</v>
      </c>
      <c r="C455" s="18" t="s">
        <v>19</v>
      </c>
      <c r="D455" s="18" t="s">
        <v>62</v>
      </c>
      <c r="E455" s="18" t="s">
        <v>50</v>
      </c>
      <c r="F455" s="20" t="n">
        <v>348</v>
      </c>
      <c r="G455" s="20" t="n">
        <v>70.3</v>
      </c>
      <c r="H455" s="18" t="n">
        <v>6</v>
      </c>
    </row>
    <row r="456" customFormat="false" ht="15" hidden="false" customHeight="true" outlineLevel="0" collapsed="false">
      <c r="A456" s="18" t="s">
        <v>502</v>
      </c>
      <c r="B456" s="19" t="n">
        <v>45461</v>
      </c>
      <c r="C456" s="18" t="s">
        <v>23</v>
      </c>
      <c r="D456" s="18" t="s">
        <v>70</v>
      </c>
      <c r="E456" s="18" t="s">
        <v>21</v>
      </c>
      <c r="F456" s="20" t="n">
        <v>67168</v>
      </c>
      <c r="G456" s="20" t="n">
        <v>15918.82</v>
      </c>
      <c r="H456" s="18" t="n">
        <v>2</v>
      </c>
    </row>
    <row r="457" customFormat="false" ht="15" hidden="false" customHeight="true" outlineLevel="0" collapsed="false">
      <c r="A457" s="18" t="s">
        <v>503</v>
      </c>
      <c r="B457" s="19" t="n">
        <v>45621</v>
      </c>
      <c r="C457" s="18" t="s">
        <v>27</v>
      </c>
      <c r="D457" s="18" t="s">
        <v>93</v>
      </c>
      <c r="E457" s="18" t="s">
        <v>32</v>
      </c>
      <c r="F457" s="20" t="n">
        <v>18935</v>
      </c>
      <c r="G457" s="20" t="n">
        <v>1988.17</v>
      </c>
      <c r="H457" s="18" t="n">
        <v>5</v>
      </c>
    </row>
    <row r="458" customFormat="false" ht="15" hidden="false" customHeight="true" outlineLevel="0" collapsed="false">
      <c r="A458" s="18" t="s">
        <v>504</v>
      </c>
      <c r="B458" s="19" t="n">
        <v>45379</v>
      </c>
      <c r="C458" s="18" t="s">
        <v>19</v>
      </c>
      <c r="D458" s="18" t="s">
        <v>55</v>
      </c>
      <c r="E458" s="18" t="s">
        <v>32</v>
      </c>
      <c r="F458" s="20" t="n">
        <v>156552</v>
      </c>
      <c r="G458" s="20" t="n">
        <v>17377.27</v>
      </c>
      <c r="H458" s="18" t="n">
        <v>8</v>
      </c>
    </row>
    <row r="459" customFormat="false" ht="15" hidden="false" customHeight="true" outlineLevel="0" collapsed="false">
      <c r="A459" s="18" t="s">
        <v>505</v>
      </c>
      <c r="B459" s="19" t="n">
        <v>45339</v>
      </c>
      <c r="C459" s="18" t="s">
        <v>27</v>
      </c>
      <c r="D459" s="18" t="s">
        <v>75</v>
      </c>
      <c r="E459" s="18" t="s">
        <v>29</v>
      </c>
      <c r="F459" s="20" t="n">
        <v>6354</v>
      </c>
      <c r="G459" s="20" t="n">
        <v>1143.72</v>
      </c>
      <c r="H459" s="18" t="n">
        <v>6</v>
      </c>
    </row>
    <row r="460" customFormat="false" ht="15" hidden="false" customHeight="true" outlineLevel="0" collapsed="false">
      <c r="A460" s="18" t="s">
        <v>506</v>
      </c>
      <c r="B460" s="19" t="n">
        <v>45367</v>
      </c>
      <c r="C460" s="18" t="s">
        <v>27</v>
      </c>
      <c r="D460" s="18" t="s">
        <v>93</v>
      </c>
      <c r="E460" s="18" t="s">
        <v>32</v>
      </c>
      <c r="F460" s="20" t="n">
        <v>6550</v>
      </c>
      <c r="G460" s="20" t="n">
        <v>759.8</v>
      </c>
      <c r="H460" s="18" t="n">
        <v>1</v>
      </c>
    </row>
    <row r="461" customFormat="false" ht="15" hidden="false" customHeight="true" outlineLevel="0" collapsed="false">
      <c r="A461" s="18" t="s">
        <v>507</v>
      </c>
      <c r="B461" s="19" t="n">
        <v>45343</v>
      </c>
      <c r="C461" s="18" t="s">
        <v>23</v>
      </c>
      <c r="D461" s="18" t="s">
        <v>64</v>
      </c>
      <c r="E461" s="18" t="s">
        <v>32</v>
      </c>
      <c r="F461" s="20" t="n">
        <v>393408</v>
      </c>
      <c r="G461" s="20" t="n">
        <v>57830.98</v>
      </c>
      <c r="H461" s="18" t="n">
        <v>8</v>
      </c>
    </row>
    <row r="462" customFormat="false" ht="15" hidden="false" customHeight="true" outlineLevel="0" collapsed="false">
      <c r="A462" s="18" t="s">
        <v>508</v>
      </c>
      <c r="B462" s="19" t="n">
        <v>45384</v>
      </c>
      <c r="C462" s="18" t="s">
        <v>41</v>
      </c>
      <c r="D462" s="18" t="s">
        <v>70</v>
      </c>
      <c r="E462" s="18" t="s">
        <v>21</v>
      </c>
      <c r="F462" s="20" t="n">
        <v>171760</v>
      </c>
      <c r="G462" s="20" t="n">
        <v>21298.24</v>
      </c>
      <c r="H462" s="18" t="n">
        <v>10</v>
      </c>
    </row>
    <row r="463" customFormat="false" ht="15" hidden="false" customHeight="true" outlineLevel="0" collapsed="false">
      <c r="A463" s="18" t="s">
        <v>509</v>
      </c>
      <c r="B463" s="19" t="n">
        <v>45553</v>
      </c>
      <c r="C463" s="18" t="s">
        <v>19</v>
      </c>
      <c r="D463" s="18" t="s">
        <v>64</v>
      </c>
      <c r="E463" s="18" t="s">
        <v>32</v>
      </c>
      <c r="F463" s="20" t="n">
        <v>377208</v>
      </c>
      <c r="G463" s="20" t="n">
        <v>36589.18</v>
      </c>
      <c r="H463" s="18" t="n">
        <v>8</v>
      </c>
    </row>
    <row r="464" customFormat="false" ht="15" hidden="false" customHeight="true" outlineLevel="0" collapsed="false">
      <c r="A464" s="18" t="s">
        <v>510</v>
      </c>
      <c r="B464" s="19" t="n">
        <v>45556</v>
      </c>
      <c r="C464" s="18" t="s">
        <v>23</v>
      </c>
      <c r="D464" s="18" t="s">
        <v>31</v>
      </c>
      <c r="E464" s="18" t="s">
        <v>32</v>
      </c>
      <c r="F464" s="20" t="n">
        <v>256345</v>
      </c>
      <c r="G464" s="20" t="n">
        <v>27941.6</v>
      </c>
      <c r="H464" s="18" t="n">
        <v>5</v>
      </c>
    </row>
    <row r="465" customFormat="false" ht="15" hidden="false" customHeight="true" outlineLevel="0" collapsed="false">
      <c r="A465" s="18" t="s">
        <v>511</v>
      </c>
      <c r="B465" s="19" t="n">
        <v>45613</v>
      </c>
      <c r="C465" s="18" t="s">
        <v>27</v>
      </c>
      <c r="D465" s="18" t="s">
        <v>62</v>
      </c>
      <c r="E465" s="18" t="s">
        <v>50</v>
      </c>
      <c r="F465" s="20" t="n">
        <v>1880</v>
      </c>
      <c r="G465" s="20" t="n">
        <v>545.2</v>
      </c>
      <c r="H465" s="18" t="n">
        <v>10</v>
      </c>
    </row>
    <row r="466" customFormat="false" ht="15" hidden="false" customHeight="true" outlineLevel="0" collapsed="false">
      <c r="A466" s="18" t="s">
        <v>512</v>
      </c>
      <c r="B466" s="19" t="n">
        <v>45563</v>
      </c>
      <c r="C466" s="18" t="s">
        <v>39</v>
      </c>
      <c r="D466" s="18" t="s">
        <v>64</v>
      </c>
      <c r="E466" s="18" t="s">
        <v>32</v>
      </c>
      <c r="F466" s="20" t="n">
        <v>137250</v>
      </c>
      <c r="G466" s="20" t="n">
        <v>22646.25</v>
      </c>
      <c r="H466" s="18" t="n">
        <v>9</v>
      </c>
    </row>
    <row r="467" customFormat="false" ht="15" hidden="false" customHeight="true" outlineLevel="0" collapsed="false">
      <c r="A467" s="18" t="s">
        <v>513</v>
      </c>
      <c r="B467" s="19" t="n">
        <v>45427</v>
      </c>
      <c r="C467" s="18" t="s">
        <v>39</v>
      </c>
      <c r="D467" s="18" t="s">
        <v>58</v>
      </c>
      <c r="E467" s="18" t="s">
        <v>50</v>
      </c>
      <c r="F467" s="20" t="n">
        <v>284</v>
      </c>
      <c r="G467" s="20" t="n">
        <v>70.72</v>
      </c>
      <c r="H467" s="18" t="n">
        <v>2</v>
      </c>
    </row>
    <row r="468" customFormat="false" ht="15" hidden="false" customHeight="true" outlineLevel="0" collapsed="false">
      <c r="A468" s="18" t="s">
        <v>514</v>
      </c>
      <c r="B468" s="19" t="n">
        <v>45578</v>
      </c>
      <c r="C468" s="18" t="s">
        <v>39</v>
      </c>
      <c r="D468" s="18" t="s">
        <v>46</v>
      </c>
      <c r="E468" s="18" t="s">
        <v>29</v>
      </c>
      <c r="F468" s="20" t="n">
        <v>56502</v>
      </c>
      <c r="G468" s="20" t="n">
        <v>9548.84</v>
      </c>
      <c r="H468" s="18" t="n">
        <v>9</v>
      </c>
    </row>
    <row r="469" customFormat="false" ht="15" hidden="false" customHeight="true" outlineLevel="0" collapsed="false">
      <c r="A469" s="18" t="s">
        <v>515</v>
      </c>
      <c r="B469" s="19" t="n">
        <v>45595</v>
      </c>
      <c r="C469" s="18" t="s">
        <v>39</v>
      </c>
      <c r="D469" s="18" t="s">
        <v>93</v>
      </c>
      <c r="E469" s="18" t="s">
        <v>32</v>
      </c>
      <c r="F469" s="20" t="n">
        <v>19278</v>
      </c>
      <c r="G469" s="20" t="n">
        <v>3257.98</v>
      </c>
      <c r="H469" s="18" t="n">
        <v>9</v>
      </c>
    </row>
    <row r="470" customFormat="false" ht="15" hidden="false" customHeight="true" outlineLevel="0" collapsed="false">
      <c r="A470" s="18" t="s">
        <v>516</v>
      </c>
      <c r="B470" s="19" t="n">
        <v>45411</v>
      </c>
      <c r="C470" s="18" t="s">
        <v>27</v>
      </c>
      <c r="D470" s="18" t="s">
        <v>31</v>
      </c>
      <c r="E470" s="18" t="s">
        <v>32</v>
      </c>
      <c r="F470" s="20" t="n">
        <v>717920</v>
      </c>
      <c r="G470" s="20" t="n">
        <v>81124.96</v>
      </c>
      <c r="H470" s="18" t="n">
        <v>10</v>
      </c>
    </row>
    <row r="471" customFormat="false" ht="15" hidden="false" customHeight="true" outlineLevel="0" collapsed="false">
      <c r="A471" s="18" t="s">
        <v>517</v>
      </c>
      <c r="B471" s="19" t="n">
        <v>45590</v>
      </c>
      <c r="C471" s="18" t="s">
        <v>23</v>
      </c>
      <c r="D471" s="18" t="s">
        <v>34</v>
      </c>
      <c r="E471" s="18" t="s">
        <v>25</v>
      </c>
      <c r="F471" s="20" t="n">
        <v>9751</v>
      </c>
      <c r="G471" s="20" t="n">
        <v>2018.46</v>
      </c>
      <c r="H471" s="18" t="n">
        <v>7</v>
      </c>
    </row>
    <row r="472" customFormat="false" ht="15" hidden="false" customHeight="true" outlineLevel="0" collapsed="false">
      <c r="A472" s="18" t="s">
        <v>518</v>
      </c>
      <c r="B472" s="19" t="n">
        <v>45447</v>
      </c>
      <c r="C472" s="18" t="s">
        <v>41</v>
      </c>
      <c r="D472" s="18" t="s">
        <v>42</v>
      </c>
      <c r="E472" s="18" t="s">
        <v>21</v>
      </c>
      <c r="F472" s="20" t="n">
        <v>26286</v>
      </c>
      <c r="G472" s="20" t="n">
        <v>5756.63</v>
      </c>
      <c r="H472" s="18" t="n">
        <v>2</v>
      </c>
    </row>
    <row r="473" customFormat="false" ht="15" hidden="false" customHeight="true" outlineLevel="0" collapsed="false">
      <c r="A473" s="18" t="s">
        <v>519</v>
      </c>
      <c r="B473" s="19" t="n">
        <v>45526</v>
      </c>
      <c r="C473" s="18" t="s">
        <v>41</v>
      </c>
      <c r="D473" s="18" t="s">
        <v>86</v>
      </c>
      <c r="E473" s="18" t="s">
        <v>21</v>
      </c>
      <c r="F473" s="20" t="n">
        <v>71480</v>
      </c>
      <c r="G473" s="20" t="n">
        <v>15940.04</v>
      </c>
      <c r="H473" s="18" t="n">
        <v>4</v>
      </c>
    </row>
    <row r="474" customFormat="false" ht="15" hidden="false" customHeight="true" outlineLevel="0" collapsed="false">
      <c r="A474" s="18" t="s">
        <v>520</v>
      </c>
      <c r="B474" s="19" t="n">
        <v>45587</v>
      </c>
      <c r="C474" s="18" t="s">
        <v>39</v>
      </c>
      <c r="D474" s="18" t="s">
        <v>83</v>
      </c>
      <c r="E474" s="18" t="s">
        <v>21</v>
      </c>
      <c r="F474" s="20" t="n">
        <v>9644</v>
      </c>
      <c r="G474" s="20" t="n">
        <v>1157.28</v>
      </c>
      <c r="H474" s="18" t="n">
        <v>1</v>
      </c>
    </row>
    <row r="475" customFormat="false" ht="15" hidden="false" customHeight="true" outlineLevel="0" collapsed="false">
      <c r="A475" s="18" t="s">
        <v>521</v>
      </c>
      <c r="B475" s="19" t="n">
        <v>45536</v>
      </c>
      <c r="C475" s="18" t="s">
        <v>41</v>
      </c>
      <c r="D475" s="18" t="s">
        <v>93</v>
      </c>
      <c r="E475" s="18" t="s">
        <v>32</v>
      </c>
      <c r="F475" s="20" t="n">
        <v>52050</v>
      </c>
      <c r="G475" s="20" t="n">
        <v>6870.6</v>
      </c>
      <c r="H475" s="18" t="n">
        <v>10</v>
      </c>
    </row>
    <row r="476" customFormat="false" ht="15" hidden="false" customHeight="true" outlineLevel="0" collapsed="false">
      <c r="A476" s="18" t="s">
        <v>522</v>
      </c>
      <c r="B476" s="19" t="n">
        <v>45535</v>
      </c>
      <c r="C476" s="18" t="s">
        <v>27</v>
      </c>
      <c r="D476" s="18" t="s">
        <v>75</v>
      </c>
      <c r="E476" s="18" t="s">
        <v>29</v>
      </c>
      <c r="F476" s="20" t="n">
        <v>7904</v>
      </c>
      <c r="G476" s="20" t="n">
        <v>1043.33</v>
      </c>
      <c r="H476" s="18" t="n">
        <v>4</v>
      </c>
    </row>
    <row r="477" customFormat="false" ht="15" hidden="false" customHeight="true" outlineLevel="0" collapsed="false">
      <c r="A477" s="18" t="s">
        <v>523</v>
      </c>
      <c r="B477" s="19" t="n">
        <v>45364</v>
      </c>
      <c r="C477" s="18" t="s">
        <v>19</v>
      </c>
      <c r="D477" s="18" t="s">
        <v>91</v>
      </c>
      <c r="E477" s="18" t="s">
        <v>25</v>
      </c>
      <c r="F477" s="20" t="n">
        <v>4348</v>
      </c>
      <c r="G477" s="20" t="n">
        <v>952.21</v>
      </c>
      <c r="H477" s="18" t="n">
        <v>2</v>
      </c>
    </row>
    <row r="478" customFormat="false" ht="15" hidden="false" customHeight="true" outlineLevel="0" collapsed="false">
      <c r="A478" s="18" t="s">
        <v>524</v>
      </c>
      <c r="B478" s="19" t="n">
        <v>45446</v>
      </c>
      <c r="C478" s="18" t="s">
        <v>27</v>
      </c>
      <c r="D478" s="18" t="s">
        <v>42</v>
      </c>
      <c r="E478" s="18" t="s">
        <v>21</v>
      </c>
      <c r="F478" s="20" t="n">
        <v>62111</v>
      </c>
      <c r="G478" s="20" t="n">
        <v>11117.87</v>
      </c>
      <c r="H478" s="18" t="n">
        <v>7</v>
      </c>
    </row>
    <row r="479" customFormat="false" ht="15" hidden="false" customHeight="true" outlineLevel="0" collapsed="false">
      <c r="A479" s="18" t="s">
        <v>525</v>
      </c>
      <c r="B479" s="19" t="n">
        <v>45298</v>
      </c>
      <c r="C479" s="18" t="s">
        <v>41</v>
      </c>
      <c r="D479" s="18" t="s">
        <v>52</v>
      </c>
      <c r="E479" s="18" t="s">
        <v>32</v>
      </c>
      <c r="F479" s="20" t="n">
        <v>62800</v>
      </c>
      <c r="G479" s="20" t="n">
        <v>8101.2</v>
      </c>
      <c r="H479" s="18" t="n">
        <v>10</v>
      </c>
    </row>
    <row r="480" customFormat="false" ht="15" hidden="false" customHeight="true" outlineLevel="0" collapsed="false">
      <c r="A480" s="18" t="s">
        <v>526</v>
      </c>
      <c r="B480" s="19" t="n">
        <v>45573</v>
      </c>
      <c r="C480" s="18" t="s">
        <v>27</v>
      </c>
      <c r="D480" s="18" t="s">
        <v>88</v>
      </c>
      <c r="E480" s="18" t="s">
        <v>50</v>
      </c>
      <c r="F480" s="20" t="n">
        <v>360</v>
      </c>
      <c r="G480" s="20" t="n">
        <v>105.12</v>
      </c>
      <c r="H480" s="18" t="n">
        <v>4</v>
      </c>
    </row>
    <row r="481" customFormat="false" ht="15" hidden="false" customHeight="true" outlineLevel="0" collapsed="false">
      <c r="A481" s="18" t="s">
        <v>527</v>
      </c>
      <c r="B481" s="19" t="n">
        <v>45317</v>
      </c>
      <c r="C481" s="18" t="s">
        <v>23</v>
      </c>
      <c r="D481" s="18" t="s">
        <v>91</v>
      </c>
      <c r="E481" s="18" t="s">
        <v>25</v>
      </c>
      <c r="F481" s="20" t="n">
        <v>36888</v>
      </c>
      <c r="G481" s="20" t="n">
        <v>12209.93</v>
      </c>
      <c r="H481" s="18" t="n">
        <v>8</v>
      </c>
    </row>
    <row r="482" customFormat="false" ht="15" hidden="false" customHeight="true" outlineLevel="0" collapsed="false">
      <c r="A482" s="18" t="s">
        <v>528</v>
      </c>
      <c r="B482" s="19" t="n">
        <v>45405</v>
      </c>
      <c r="C482" s="18" t="s">
        <v>39</v>
      </c>
      <c r="D482" s="18" t="s">
        <v>20</v>
      </c>
      <c r="E482" s="18" t="s">
        <v>21</v>
      </c>
      <c r="F482" s="20" t="n">
        <v>63686</v>
      </c>
      <c r="G482" s="20" t="n">
        <v>13310.37</v>
      </c>
      <c r="H482" s="18" t="n">
        <v>7</v>
      </c>
    </row>
    <row r="483" customFormat="false" ht="15" hidden="false" customHeight="true" outlineLevel="0" collapsed="false">
      <c r="A483" s="18" t="s">
        <v>529</v>
      </c>
      <c r="B483" s="19" t="n">
        <v>45573</v>
      </c>
      <c r="C483" s="18" t="s">
        <v>27</v>
      </c>
      <c r="D483" s="18" t="s">
        <v>64</v>
      </c>
      <c r="E483" s="18" t="s">
        <v>32</v>
      </c>
      <c r="F483" s="20" t="n">
        <v>56670</v>
      </c>
      <c r="G483" s="20" t="n">
        <v>6687.06</v>
      </c>
      <c r="H483" s="18" t="n">
        <v>2</v>
      </c>
    </row>
    <row r="484" customFormat="false" ht="15" hidden="false" customHeight="true" outlineLevel="0" collapsed="false">
      <c r="A484" s="18" t="s">
        <v>530</v>
      </c>
      <c r="B484" s="19" t="n">
        <v>45336</v>
      </c>
      <c r="C484" s="18" t="s">
        <v>41</v>
      </c>
      <c r="D484" s="18" t="s">
        <v>86</v>
      </c>
      <c r="E484" s="18" t="s">
        <v>21</v>
      </c>
      <c r="F484" s="20" t="n">
        <v>324583</v>
      </c>
      <c r="G484" s="20" t="n">
        <v>61021.6</v>
      </c>
      <c r="H484" s="18" t="n">
        <v>7</v>
      </c>
    </row>
    <row r="485" customFormat="false" ht="15" hidden="false" customHeight="true" outlineLevel="0" collapsed="false">
      <c r="A485" s="18" t="s">
        <v>531</v>
      </c>
      <c r="B485" s="19" t="n">
        <v>45395</v>
      </c>
      <c r="C485" s="18" t="s">
        <v>39</v>
      </c>
      <c r="D485" s="18" t="s">
        <v>36</v>
      </c>
      <c r="E485" s="18" t="s">
        <v>25</v>
      </c>
      <c r="F485" s="20" t="n">
        <v>23920</v>
      </c>
      <c r="G485" s="20" t="n">
        <v>4329.52</v>
      </c>
      <c r="H485" s="18" t="n">
        <v>10</v>
      </c>
    </row>
    <row r="486" customFormat="false" ht="15" hidden="false" customHeight="true" outlineLevel="0" collapsed="false">
      <c r="A486" s="18" t="s">
        <v>532</v>
      </c>
      <c r="B486" s="19" t="n">
        <v>45335</v>
      </c>
      <c r="C486" s="18" t="s">
        <v>39</v>
      </c>
      <c r="D486" s="18" t="s">
        <v>72</v>
      </c>
      <c r="E486" s="18" t="s">
        <v>29</v>
      </c>
      <c r="F486" s="20" t="n">
        <v>148300</v>
      </c>
      <c r="G486" s="20" t="n">
        <v>25507.6</v>
      </c>
      <c r="H486" s="18" t="n">
        <v>10</v>
      </c>
    </row>
    <row r="487" customFormat="false" ht="15" hidden="false" customHeight="true" outlineLevel="0" collapsed="false">
      <c r="A487" s="18" t="s">
        <v>533</v>
      </c>
      <c r="B487" s="19" t="n">
        <v>45615</v>
      </c>
      <c r="C487" s="18" t="s">
        <v>19</v>
      </c>
      <c r="D487" s="18" t="s">
        <v>75</v>
      </c>
      <c r="E487" s="18" t="s">
        <v>29</v>
      </c>
      <c r="F487" s="20" t="n">
        <v>16352</v>
      </c>
      <c r="G487" s="20" t="n">
        <v>2371.04</v>
      </c>
      <c r="H487" s="18" t="n">
        <v>7</v>
      </c>
    </row>
    <row r="488" customFormat="false" ht="15" hidden="false" customHeight="true" outlineLevel="0" collapsed="false">
      <c r="A488" s="18" t="s">
        <v>534</v>
      </c>
      <c r="B488" s="19" t="n">
        <v>45369</v>
      </c>
      <c r="C488" s="18" t="s">
        <v>39</v>
      </c>
      <c r="D488" s="18" t="s">
        <v>20</v>
      </c>
      <c r="E488" s="18" t="s">
        <v>21</v>
      </c>
      <c r="F488" s="20" t="n">
        <v>58224</v>
      </c>
      <c r="G488" s="20" t="n">
        <v>14439.55</v>
      </c>
      <c r="H488" s="18" t="n">
        <v>6</v>
      </c>
    </row>
    <row r="489" customFormat="false" ht="15" hidden="false" customHeight="true" outlineLevel="0" collapsed="false">
      <c r="A489" s="18" t="s">
        <v>535</v>
      </c>
      <c r="B489" s="19" t="n">
        <v>45517</v>
      </c>
      <c r="C489" s="18" t="s">
        <v>19</v>
      </c>
      <c r="D489" s="18" t="s">
        <v>49</v>
      </c>
      <c r="E489" s="18" t="s">
        <v>50</v>
      </c>
      <c r="F489" s="20" t="n">
        <v>370</v>
      </c>
      <c r="G489" s="20" t="n">
        <v>96.2</v>
      </c>
      <c r="H489" s="18" t="n">
        <v>10</v>
      </c>
    </row>
    <row r="490" customFormat="false" ht="15" hidden="false" customHeight="true" outlineLevel="0" collapsed="false">
      <c r="A490" s="18" t="s">
        <v>536</v>
      </c>
      <c r="B490" s="19" t="n">
        <v>45380</v>
      </c>
      <c r="C490" s="18" t="s">
        <v>27</v>
      </c>
      <c r="D490" s="18" t="s">
        <v>36</v>
      </c>
      <c r="E490" s="18" t="s">
        <v>25</v>
      </c>
      <c r="F490" s="20" t="n">
        <v>3272</v>
      </c>
      <c r="G490" s="20" t="n">
        <v>873.62</v>
      </c>
      <c r="H490" s="18" t="n">
        <v>2</v>
      </c>
    </row>
    <row r="491" customFormat="false" ht="15" hidden="false" customHeight="true" outlineLevel="0" collapsed="false">
      <c r="A491" s="18" t="s">
        <v>537</v>
      </c>
      <c r="B491" s="19" t="n">
        <v>45541</v>
      </c>
      <c r="C491" s="18" t="s">
        <v>19</v>
      </c>
      <c r="D491" s="18" t="s">
        <v>44</v>
      </c>
      <c r="E491" s="18" t="s">
        <v>32</v>
      </c>
      <c r="F491" s="20" t="n">
        <v>53343</v>
      </c>
      <c r="G491" s="20" t="n">
        <v>8481.54</v>
      </c>
      <c r="H491" s="18" t="n">
        <v>9</v>
      </c>
    </row>
    <row r="492" customFormat="false" ht="15" hidden="false" customHeight="true" outlineLevel="0" collapsed="false">
      <c r="A492" s="18" t="s">
        <v>538</v>
      </c>
      <c r="B492" s="19" t="n">
        <v>45579</v>
      </c>
      <c r="C492" s="18" t="s">
        <v>27</v>
      </c>
      <c r="D492" s="18" t="s">
        <v>49</v>
      </c>
      <c r="E492" s="18" t="s">
        <v>50</v>
      </c>
      <c r="F492" s="20" t="n">
        <v>783</v>
      </c>
      <c r="G492" s="20" t="n">
        <v>177.74</v>
      </c>
      <c r="H492" s="18" t="n">
        <v>9</v>
      </c>
    </row>
    <row r="493" customFormat="false" ht="15" hidden="false" customHeight="true" outlineLevel="0" collapsed="false">
      <c r="A493" s="18" t="s">
        <v>539</v>
      </c>
      <c r="B493" s="19" t="n">
        <v>45296</v>
      </c>
      <c r="C493" s="18" t="s">
        <v>39</v>
      </c>
      <c r="D493" s="18" t="s">
        <v>83</v>
      </c>
      <c r="E493" s="18" t="s">
        <v>21</v>
      </c>
      <c r="F493" s="20" t="n">
        <v>75040</v>
      </c>
      <c r="G493" s="20" t="n">
        <v>15983.52</v>
      </c>
      <c r="H493" s="18" t="n">
        <v>10</v>
      </c>
    </row>
    <row r="494" customFormat="false" ht="15" hidden="false" customHeight="true" outlineLevel="0" collapsed="false">
      <c r="A494" s="18" t="s">
        <v>540</v>
      </c>
      <c r="B494" s="19" t="n">
        <v>45511</v>
      </c>
      <c r="C494" s="18" t="s">
        <v>39</v>
      </c>
      <c r="D494" s="18" t="s">
        <v>106</v>
      </c>
      <c r="E494" s="18" t="s">
        <v>25</v>
      </c>
      <c r="F494" s="20" t="n">
        <v>6108</v>
      </c>
      <c r="G494" s="20" t="n">
        <v>1111.66</v>
      </c>
      <c r="H494" s="18" t="n">
        <v>3</v>
      </c>
    </row>
    <row r="495" customFormat="false" ht="15" hidden="false" customHeight="true" outlineLevel="0" collapsed="false">
      <c r="A495" s="18" t="s">
        <v>541</v>
      </c>
      <c r="B495" s="19" t="n">
        <v>45617</v>
      </c>
      <c r="C495" s="18" t="s">
        <v>41</v>
      </c>
      <c r="D495" s="18" t="s">
        <v>34</v>
      </c>
      <c r="E495" s="18" t="s">
        <v>25</v>
      </c>
      <c r="F495" s="20" t="n">
        <v>795</v>
      </c>
      <c r="G495" s="20" t="n">
        <v>178.08</v>
      </c>
      <c r="H495" s="18" t="n">
        <v>1</v>
      </c>
    </row>
    <row r="496" customFormat="false" ht="15" hidden="false" customHeight="true" outlineLevel="0" collapsed="false">
      <c r="A496" s="18" t="s">
        <v>542</v>
      </c>
      <c r="B496" s="19" t="n">
        <v>45578</v>
      </c>
      <c r="C496" s="18" t="s">
        <v>23</v>
      </c>
      <c r="D496" s="18" t="s">
        <v>70</v>
      </c>
      <c r="E496" s="18" t="s">
        <v>21</v>
      </c>
      <c r="F496" s="20" t="n">
        <v>240600</v>
      </c>
      <c r="G496" s="20" t="n">
        <v>54375.6</v>
      </c>
      <c r="H496" s="18" t="n">
        <v>8</v>
      </c>
    </row>
    <row r="497" customFormat="false" ht="15" hidden="false" customHeight="true" outlineLevel="0" collapsed="false">
      <c r="A497" s="18" t="s">
        <v>543</v>
      </c>
      <c r="B497" s="19" t="n">
        <v>45560</v>
      </c>
      <c r="C497" s="18" t="s">
        <v>23</v>
      </c>
      <c r="D497" s="18" t="s">
        <v>36</v>
      </c>
      <c r="E497" s="18" t="s">
        <v>25</v>
      </c>
      <c r="F497" s="20" t="n">
        <v>18970</v>
      </c>
      <c r="G497" s="20" t="n">
        <v>5956.58</v>
      </c>
      <c r="H497" s="18" t="n">
        <v>7</v>
      </c>
    </row>
    <row r="498" customFormat="false" ht="15" hidden="false" customHeight="true" outlineLevel="0" collapsed="false">
      <c r="A498" s="18" t="s">
        <v>544</v>
      </c>
      <c r="B498" s="19" t="n">
        <v>45566</v>
      </c>
      <c r="C498" s="18" t="s">
        <v>39</v>
      </c>
      <c r="D498" s="18" t="s">
        <v>58</v>
      </c>
      <c r="E498" s="18" t="s">
        <v>50</v>
      </c>
      <c r="F498" s="20" t="n">
        <v>330</v>
      </c>
      <c r="G498" s="20" t="n">
        <v>96.36</v>
      </c>
      <c r="H498" s="18" t="n">
        <v>6</v>
      </c>
    </row>
    <row r="499" customFormat="false" ht="15" hidden="false" customHeight="true" outlineLevel="0" collapsed="false">
      <c r="A499" s="18" t="s">
        <v>545</v>
      </c>
      <c r="B499" s="19" t="n">
        <v>45596</v>
      </c>
      <c r="C499" s="18" t="s">
        <v>41</v>
      </c>
      <c r="D499" s="18" t="s">
        <v>28</v>
      </c>
      <c r="E499" s="18" t="s">
        <v>29</v>
      </c>
      <c r="F499" s="20" t="n">
        <v>4958</v>
      </c>
      <c r="G499" s="20" t="n">
        <v>956.89</v>
      </c>
      <c r="H499" s="18" t="n">
        <v>1</v>
      </c>
    </row>
    <row r="500" customFormat="false" ht="15" hidden="false" customHeight="true" outlineLevel="0" collapsed="false">
      <c r="A500" s="18" t="s">
        <v>546</v>
      </c>
      <c r="B500" s="19" t="n">
        <v>45582</v>
      </c>
      <c r="C500" s="18" t="s">
        <v>41</v>
      </c>
      <c r="D500" s="18" t="s">
        <v>120</v>
      </c>
      <c r="E500" s="18" t="s">
        <v>29</v>
      </c>
      <c r="F500" s="20" t="n">
        <v>51375</v>
      </c>
      <c r="G500" s="20" t="n">
        <v>7449.37</v>
      </c>
      <c r="H500" s="18" t="n">
        <v>3</v>
      </c>
    </row>
    <row r="501" customFormat="false" ht="15" hidden="false" customHeight="true" outlineLevel="0" collapsed="false">
      <c r="A501" s="18" t="s">
        <v>547</v>
      </c>
      <c r="B501" s="19" t="n">
        <v>45620</v>
      </c>
      <c r="C501" s="18" t="s">
        <v>23</v>
      </c>
      <c r="D501" s="18" t="s">
        <v>28</v>
      </c>
      <c r="E501" s="18" t="s">
        <v>29</v>
      </c>
      <c r="F501" s="20" t="n">
        <v>24792</v>
      </c>
      <c r="G501" s="20" t="n">
        <v>4586.52</v>
      </c>
      <c r="H501" s="18" t="n">
        <v>8</v>
      </c>
    </row>
    <row r="502" customFormat="false" ht="15" hidden="false" customHeight="true" outlineLevel="0" collapsed="false">
      <c r="A502" s="18" t="s">
        <v>548</v>
      </c>
      <c r="B502" s="19" t="n">
        <v>45451</v>
      </c>
      <c r="C502" s="18" t="s">
        <v>19</v>
      </c>
      <c r="D502" s="18" t="s">
        <v>96</v>
      </c>
      <c r="E502" s="18" t="s">
        <v>50</v>
      </c>
      <c r="F502" s="20" t="n">
        <v>298</v>
      </c>
      <c r="G502" s="20" t="n">
        <v>111.45</v>
      </c>
      <c r="H502" s="18" t="n">
        <v>2</v>
      </c>
    </row>
    <row r="503" customFormat="false" ht="15" hidden="false" customHeight="true" outlineLevel="0" collapsed="false">
      <c r="A503" s="18" t="s">
        <v>549</v>
      </c>
      <c r="B503" s="19" t="n">
        <v>45649</v>
      </c>
      <c r="C503" s="18" t="s">
        <v>19</v>
      </c>
      <c r="D503" s="18" t="s">
        <v>46</v>
      </c>
      <c r="E503" s="18" t="s">
        <v>29</v>
      </c>
      <c r="F503" s="20" t="n">
        <v>9261</v>
      </c>
      <c r="G503" s="20" t="n">
        <v>1805.89</v>
      </c>
      <c r="H503" s="18" t="n">
        <v>1</v>
      </c>
    </row>
    <row r="504" customFormat="false" ht="15" hidden="false" customHeight="true" outlineLevel="0" collapsed="false">
      <c r="A504" s="18" t="s">
        <v>550</v>
      </c>
      <c r="B504" s="19" t="n">
        <v>45514</v>
      </c>
      <c r="C504" s="18" t="s">
        <v>41</v>
      </c>
      <c r="D504" s="18" t="s">
        <v>36</v>
      </c>
      <c r="E504" s="18" t="s">
        <v>25</v>
      </c>
      <c r="F504" s="20" t="n">
        <v>10268</v>
      </c>
      <c r="G504" s="20" t="n">
        <v>1879.04</v>
      </c>
      <c r="H504" s="18" t="n">
        <v>2</v>
      </c>
    </row>
    <row r="505" customFormat="false" ht="15" hidden="false" customHeight="true" outlineLevel="0" collapsed="false">
      <c r="A505" s="18" t="s">
        <v>551</v>
      </c>
      <c r="B505" s="19" t="n">
        <v>45389</v>
      </c>
      <c r="C505" s="18" t="s">
        <v>19</v>
      </c>
      <c r="D505" s="18" t="s">
        <v>52</v>
      </c>
      <c r="E505" s="18" t="s">
        <v>32</v>
      </c>
      <c r="F505" s="20" t="n">
        <v>8260</v>
      </c>
      <c r="G505" s="20" t="n">
        <v>1428.98</v>
      </c>
      <c r="H505" s="18" t="n">
        <v>7</v>
      </c>
    </row>
    <row r="506" customFormat="false" ht="15" hidden="false" customHeight="true" outlineLevel="0" collapsed="false">
      <c r="A506" s="18" t="s">
        <v>552</v>
      </c>
      <c r="B506" s="19" t="n">
        <v>45464</v>
      </c>
      <c r="C506" s="18" t="s">
        <v>27</v>
      </c>
      <c r="D506" s="18" t="s">
        <v>34</v>
      </c>
      <c r="E506" s="18" t="s">
        <v>25</v>
      </c>
      <c r="F506" s="20" t="n">
        <v>3003</v>
      </c>
      <c r="G506" s="20" t="n">
        <v>1048.05</v>
      </c>
      <c r="H506" s="18" t="n">
        <v>3</v>
      </c>
    </row>
    <row r="507" customFormat="false" ht="15" hidden="false" customHeight="true" outlineLevel="0" collapsed="false">
      <c r="A507" s="18" t="s">
        <v>553</v>
      </c>
      <c r="B507" s="19" t="n">
        <v>45533</v>
      </c>
      <c r="C507" s="18" t="s">
        <v>41</v>
      </c>
      <c r="D507" s="18" t="s">
        <v>86</v>
      </c>
      <c r="E507" s="18" t="s">
        <v>21</v>
      </c>
      <c r="F507" s="20" t="n">
        <v>187565</v>
      </c>
      <c r="G507" s="20" t="n">
        <v>41264.3</v>
      </c>
      <c r="H507" s="18" t="n">
        <v>7</v>
      </c>
    </row>
    <row r="508" customFormat="false" ht="15" hidden="false" customHeight="true" outlineLevel="0" collapsed="false">
      <c r="A508" s="18" t="s">
        <v>554</v>
      </c>
      <c r="B508" s="19" t="n">
        <v>45410</v>
      </c>
      <c r="C508" s="18" t="s">
        <v>19</v>
      </c>
      <c r="D508" s="18" t="s">
        <v>106</v>
      </c>
      <c r="E508" s="18" t="s">
        <v>25</v>
      </c>
      <c r="F508" s="20" t="n">
        <v>13295</v>
      </c>
      <c r="G508" s="20" t="n">
        <v>2180.38</v>
      </c>
      <c r="H508" s="18" t="n">
        <v>5</v>
      </c>
    </row>
    <row r="509" customFormat="false" ht="15" hidden="false" customHeight="true" outlineLevel="0" collapsed="false">
      <c r="A509" s="18" t="s">
        <v>555</v>
      </c>
      <c r="B509" s="19" t="n">
        <v>45325</v>
      </c>
      <c r="C509" s="18" t="s">
        <v>39</v>
      </c>
      <c r="D509" s="18" t="s">
        <v>83</v>
      </c>
      <c r="E509" s="18" t="s">
        <v>21</v>
      </c>
      <c r="F509" s="20" t="n">
        <v>114840</v>
      </c>
      <c r="G509" s="20" t="n">
        <v>24460.92</v>
      </c>
      <c r="H509" s="18" t="n">
        <v>10</v>
      </c>
    </row>
    <row r="510" customFormat="false" ht="15" hidden="false" customHeight="true" outlineLevel="0" collapsed="false">
      <c r="A510" s="18" t="s">
        <v>556</v>
      </c>
      <c r="B510" s="19" t="n">
        <v>45567</v>
      </c>
      <c r="C510" s="18" t="s">
        <v>39</v>
      </c>
      <c r="D510" s="18" t="s">
        <v>58</v>
      </c>
      <c r="E510" s="18" t="s">
        <v>50</v>
      </c>
      <c r="F510" s="20" t="n">
        <v>266</v>
      </c>
      <c r="G510" s="20" t="n">
        <v>103.74</v>
      </c>
      <c r="H510" s="18" t="n">
        <v>7</v>
      </c>
    </row>
    <row r="511" customFormat="false" ht="15" hidden="false" customHeight="true" outlineLevel="0" collapsed="false">
      <c r="A511" s="18" t="s">
        <v>557</v>
      </c>
      <c r="B511" s="19" t="n">
        <v>45321</v>
      </c>
      <c r="C511" s="18" t="s">
        <v>19</v>
      </c>
      <c r="D511" s="18" t="s">
        <v>86</v>
      </c>
      <c r="E511" s="18" t="s">
        <v>21</v>
      </c>
      <c r="F511" s="20" t="n">
        <v>114496</v>
      </c>
      <c r="G511" s="20" t="n">
        <v>26563.07</v>
      </c>
      <c r="H511" s="18" t="n">
        <v>2</v>
      </c>
    </row>
    <row r="512" customFormat="false" ht="15" hidden="false" customHeight="true" outlineLevel="0" collapsed="false">
      <c r="A512" s="18" t="s">
        <v>558</v>
      </c>
      <c r="B512" s="19" t="n">
        <v>45483</v>
      </c>
      <c r="C512" s="18" t="s">
        <v>41</v>
      </c>
      <c r="D512" s="18" t="s">
        <v>70</v>
      </c>
      <c r="E512" s="18" t="s">
        <v>21</v>
      </c>
      <c r="F512" s="20" t="n">
        <v>146196</v>
      </c>
      <c r="G512" s="20" t="n">
        <v>17835.91</v>
      </c>
      <c r="H512" s="18" t="n">
        <v>9</v>
      </c>
    </row>
    <row r="513" customFormat="false" ht="15" hidden="false" customHeight="true" outlineLevel="0" collapsed="false">
      <c r="A513" s="18" t="s">
        <v>559</v>
      </c>
      <c r="B513" s="19" t="n">
        <v>45453</v>
      </c>
      <c r="C513" s="18" t="s">
        <v>19</v>
      </c>
      <c r="D513" s="18" t="s">
        <v>70</v>
      </c>
      <c r="E513" s="18" t="s">
        <v>21</v>
      </c>
      <c r="F513" s="20" t="n">
        <v>70628</v>
      </c>
      <c r="G513" s="20" t="n">
        <v>12218.64</v>
      </c>
      <c r="H513" s="18" t="n">
        <v>2</v>
      </c>
    </row>
    <row r="514" customFormat="false" ht="15" hidden="false" customHeight="true" outlineLevel="0" collapsed="false">
      <c r="A514" s="18" t="s">
        <v>560</v>
      </c>
      <c r="B514" s="19" t="n">
        <v>45492</v>
      </c>
      <c r="C514" s="18" t="s">
        <v>39</v>
      </c>
      <c r="D514" s="18" t="s">
        <v>120</v>
      </c>
      <c r="E514" s="18" t="s">
        <v>29</v>
      </c>
      <c r="F514" s="20" t="n">
        <v>22144</v>
      </c>
      <c r="G514" s="20" t="n">
        <v>3454.46</v>
      </c>
      <c r="H514" s="18" t="n">
        <v>2</v>
      </c>
    </row>
    <row r="515" customFormat="false" ht="15" hidden="false" customHeight="true" outlineLevel="0" collapsed="false">
      <c r="A515" s="18" t="s">
        <v>561</v>
      </c>
      <c r="B515" s="19" t="n">
        <v>45429</v>
      </c>
      <c r="C515" s="18" t="s">
        <v>39</v>
      </c>
      <c r="D515" s="18" t="s">
        <v>88</v>
      </c>
      <c r="E515" s="18" t="s">
        <v>50</v>
      </c>
      <c r="F515" s="20" t="n">
        <v>747</v>
      </c>
      <c r="G515" s="20" t="n">
        <v>196.46</v>
      </c>
      <c r="H515" s="18" t="n">
        <v>3</v>
      </c>
    </row>
    <row r="516" customFormat="false" ht="15" hidden="false" customHeight="true" outlineLevel="0" collapsed="false">
      <c r="A516" s="18" t="s">
        <v>562</v>
      </c>
      <c r="B516" s="19" t="n">
        <v>45605</v>
      </c>
      <c r="C516" s="18" t="s">
        <v>19</v>
      </c>
      <c r="D516" s="18" t="s">
        <v>106</v>
      </c>
      <c r="E516" s="18" t="s">
        <v>25</v>
      </c>
      <c r="F516" s="20" t="n">
        <v>12952</v>
      </c>
      <c r="G516" s="20" t="n">
        <v>2266.6</v>
      </c>
      <c r="H516" s="18" t="n">
        <v>8</v>
      </c>
    </row>
    <row r="517" customFormat="false" ht="15" hidden="false" customHeight="true" outlineLevel="0" collapsed="false">
      <c r="A517" s="18" t="s">
        <v>563</v>
      </c>
      <c r="B517" s="19" t="n">
        <v>45587</v>
      </c>
      <c r="C517" s="18" t="s">
        <v>19</v>
      </c>
      <c r="D517" s="18" t="s">
        <v>20</v>
      </c>
      <c r="E517" s="18" t="s">
        <v>21</v>
      </c>
      <c r="F517" s="20" t="n">
        <v>33489</v>
      </c>
      <c r="G517" s="20" t="n">
        <v>8338.76</v>
      </c>
      <c r="H517" s="18" t="n">
        <v>3</v>
      </c>
    </row>
    <row r="518" customFormat="false" ht="15" hidden="false" customHeight="true" outlineLevel="0" collapsed="false">
      <c r="A518" s="18" t="s">
        <v>129</v>
      </c>
      <c r="B518" s="19" t="n">
        <v>45457</v>
      </c>
      <c r="C518" s="18" t="s">
        <v>41</v>
      </c>
      <c r="D518" s="18" t="s">
        <v>31</v>
      </c>
      <c r="E518" s="18" t="s">
        <v>32</v>
      </c>
      <c r="F518" s="20" t="n">
        <v>220332</v>
      </c>
      <c r="G518" s="20" t="n">
        <v>33049.8</v>
      </c>
      <c r="H518" s="18" t="n">
        <v>3</v>
      </c>
    </row>
    <row r="519" customFormat="false" ht="15" hidden="false" customHeight="true" outlineLevel="0" collapsed="false">
      <c r="A519" s="18" t="s">
        <v>564</v>
      </c>
      <c r="B519" s="19" t="n">
        <v>45468</v>
      </c>
      <c r="C519" s="18" t="s">
        <v>23</v>
      </c>
      <c r="D519" s="18" t="s">
        <v>86</v>
      </c>
      <c r="E519" s="18" t="s">
        <v>21</v>
      </c>
      <c r="F519" s="20" t="n">
        <v>219730</v>
      </c>
      <c r="G519" s="20" t="n">
        <v>39331.67</v>
      </c>
      <c r="H519" s="18" t="n">
        <v>7</v>
      </c>
    </row>
    <row r="520" customFormat="false" ht="15" hidden="false" customHeight="true" outlineLevel="0" collapsed="false">
      <c r="A520" s="18" t="s">
        <v>565</v>
      </c>
      <c r="B520" s="19" t="n">
        <v>45476</v>
      </c>
      <c r="C520" s="18" t="s">
        <v>23</v>
      </c>
      <c r="D520" s="18" t="s">
        <v>120</v>
      </c>
      <c r="E520" s="18" t="s">
        <v>29</v>
      </c>
      <c r="F520" s="20" t="n">
        <v>15582</v>
      </c>
      <c r="G520" s="20" t="n">
        <v>2758.01</v>
      </c>
      <c r="H520" s="18" t="n">
        <v>2</v>
      </c>
    </row>
    <row r="521" customFormat="false" ht="15" hidden="false" customHeight="true" outlineLevel="0" collapsed="false">
      <c r="A521" s="18" t="s">
        <v>566</v>
      </c>
      <c r="B521" s="19" t="n">
        <v>45603</v>
      </c>
      <c r="C521" s="18" t="s">
        <v>23</v>
      </c>
      <c r="D521" s="18" t="s">
        <v>49</v>
      </c>
      <c r="E521" s="18" t="s">
        <v>50</v>
      </c>
      <c r="F521" s="20" t="n">
        <v>112</v>
      </c>
      <c r="G521" s="20" t="n">
        <v>27.78</v>
      </c>
      <c r="H521" s="18" t="n">
        <v>2</v>
      </c>
    </row>
    <row r="522" customFormat="false" ht="15" hidden="false" customHeight="true" outlineLevel="0" collapsed="false">
      <c r="A522" s="18" t="s">
        <v>567</v>
      </c>
      <c r="B522" s="19" t="n">
        <v>45432</v>
      </c>
      <c r="C522" s="18" t="s">
        <v>19</v>
      </c>
      <c r="D522" s="18" t="s">
        <v>62</v>
      </c>
      <c r="E522" s="18" t="s">
        <v>50</v>
      </c>
      <c r="F522" s="20" t="n">
        <v>144</v>
      </c>
      <c r="G522" s="20" t="n">
        <v>46.51</v>
      </c>
      <c r="H522" s="18" t="n">
        <v>3</v>
      </c>
    </row>
    <row r="523" customFormat="false" ht="15" hidden="false" customHeight="true" outlineLevel="0" collapsed="false">
      <c r="A523" s="18" t="s">
        <v>568</v>
      </c>
      <c r="B523" s="19" t="n">
        <v>45573</v>
      </c>
      <c r="C523" s="18" t="s">
        <v>41</v>
      </c>
      <c r="D523" s="18" t="s">
        <v>91</v>
      </c>
      <c r="E523" s="18" t="s">
        <v>25</v>
      </c>
      <c r="F523" s="20" t="n">
        <v>32808</v>
      </c>
      <c r="G523" s="20" t="n">
        <v>6299.14</v>
      </c>
      <c r="H523" s="18" t="n">
        <v>8</v>
      </c>
    </row>
    <row r="524" customFormat="false" ht="15" hidden="false" customHeight="true" outlineLevel="0" collapsed="false">
      <c r="A524" s="18" t="s">
        <v>569</v>
      </c>
      <c r="B524" s="19" t="n">
        <v>45465</v>
      </c>
      <c r="C524" s="18" t="s">
        <v>41</v>
      </c>
      <c r="D524" s="18" t="s">
        <v>42</v>
      </c>
      <c r="E524" s="18" t="s">
        <v>21</v>
      </c>
      <c r="F524" s="20" t="n">
        <v>28464</v>
      </c>
      <c r="G524" s="20" t="n">
        <v>5408.16</v>
      </c>
      <c r="H524" s="18" t="n">
        <v>4</v>
      </c>
    </row>
    <row r="525" customFormat="false" ht="15" hidden="false" customHeight="true" outlineLevel="0" collapsed="false">
      <c r="A525" s="18" t="s">
        <v>570</v>
      </c>
      <c r="B525" s="19" t="n">
        <v>45295</v>
      </c>
      <c r="C525" s="18" t="s">
        <v>23</v>
      </c>
      <c r="D525" s="18" t="s">
        <v>55</v>
      </c>
      <c r="E525" s="18" t="s">
        <v>32</v>
      </c>
      <c r="F525" s="20" t="n">
        <v>149820</v>
      </c>
      <c r="G525" s="20" t="n">
        <v>22473</v>
      </c>
      <c r="H525" s="18" t="n">
        <v>10</v>
      </c>
    </row>
    <row r="526" customFormat="false" ht="15" hidden="false" customHeight="true" outlineLevel="0" collapsed="false">
      <c r="A526" s="18" t="s">
        <v>571</v>
      </c>
      <c r="B526" s="19" t="n">
        <v>45367</v>
      </c>
      <c r="C526" s="18" t="s">
        <v>41</v>
      </c>
      <c r="D526" s="18" t="s">
        <v>44</v>
      </c>
      <c r="E526" s="18" t="s">
        <v>32</v>
      </c>
      <c r="F526" s="20" t="n">
        <v>11870</v>
      </c>
      <c r="G526" s="20" t="n">
        <v>1566.84</v>
      </c>
      <c r="H526" s="18" t="n">
        <v>5</v>
      </c>
    </row>
    <row r="527" customFormat="false" ht="15" hidden="false" customHeight="true" outlineLevel="0" collapsed="false">
      <c r="A527" s="18" t="s">
        <v>572</v>
      </c>
      <c r="B527" s="19" t="n">
        <v>45365</v>
      </c>
      <c r="C527" s="18" t="s">
        <v>39</v>
      </c>
      <c r="D527" s="18" t="s">
        <v>120</v>
      </c>
      <c r="E527" s="18" t="s">
        <v>29</v>
      </c>
      <c r="F527" s="20" t="n">
        <v>113184</v>
      </c>
      <c r="G527" s="20" t="n">
        <v>16977.6</v>
      </c>
      <c r="H527" s="18" t="n">
        <v>9</v>
      </c>
    </row>
    <row r="528" customFormat="false" ht="15" hidden="false" customHeight="true" outlineLevel="0" collapsed="false">
      <c r="A528" s="18" t="s">
        <v>573</v>
      </c>
      <c r="B528" s="19" t="n">
        <v>45657</v>
      </c>
      <c r="C528" s="18" t="s">
        <v>41</v>
      </c>
      <c r="D528" s="18" t="s">
        <v>58</v>
      </c>
      <c r="E528" s="18" t="s">
        <v>50</v>
      </c>
      <c r="F528" s="20" t="n">
        <v>904</v>
      </c>
      <c r="G528" s="20" t="n">
        <v>226.9</v>
      </c>
      <c r="H528" s="18" t="n">
        <v>8</v>
      </c>
    </row>
    <row r="529" customFormat="false" ht="15" hidden="false" customHeight="true" outlineLevel="0" collapsed="false">
      <c r="A529" s="18" t="s">
        <v>574</v>
      </c>
      <c r="B529" s="19" t="n">
        <v>45562</v>
      </c>
      <c r="C529" s="18" t="s">
        <v>19</v>
      </c>
      <c r="D529" s="18" t="s">
        <v>72</v>
      </c>
      <c r="E529" s="18" t="s">
        <v>29</v>
      </c>
      <c r="F529" s="20" t="n">
        <v>6876</v>
      </c>
      <c r="G529" s="20" t="n">
        <v>1155.17</v>
      </c>
      <c r="H529" s="18" t="n">
        <v>1</v>
      </c>
    </row>
    <row r="530" customFormat="false" ht="15" hidden="false" customHeight="true" outlineLevel="0" collapsed="false">
      <c r="A530" s="18" t="s">
        <v>575</v>
      </c>
      <c r="B530" s="19" t="n">
        <v>45629</v>
      </c>
      <c r="C530" s="18" t="s">
        <v>27</v>
      </c>
      <c r="D530" s="18" t="s">
        <v>83</v>
      </c>
      <c r="E530" s="18" t="s">
        <v>21</v>
      </c>
      <c r="F530" s="20" t="n">
        <v>11772</v>
      </c>
      <c r="G530" s="20" t="n">
        <v>2731.1</v>
      </c>
      <c r="H530" s="18" t="n">
        <v>1</v>
      </c>
    </row>
    <row r="531" customFormat="false" ht="15" hidden="false" customHeight="true" outlineLevel="0" collapsed="false">
      <c r="A531" s="18" t="s">
        <v>576</v>
      </c>
      <c r="B531" s="19" t="n">
        <v>45405</v>
      </c>
      <c r="C531" s="18" t="s">
        <v>39</v>
      </c>
      <c r="D531" s="18" t="s">
        <v>31</v>
      </c>
      <c r="E531" s="18" t="s">
        <v>32</v>
      </c>
      <c r="F531" s="20" t="n">
        <v>356305</v>
      </c>
      <c r="G531" s="20" t="n">
        <v>61640.76</v>
      </c>
      <c r="H531" s="18" t="n">
        <v>5</v>
      </c>
    </row>
    <row r="532" customFormat="false" ht="15" hidden="false" customHeight="true" outlineLevel="0" collapsed="false">
      <c r="A532" s="18" t="s">
        <v>577</v>
      </c>
      <c r="B532" s="19" t="n">
        <v>45641</v>
      </c>
      <c r="C532" s="18" t="s">
        <v>41</v>
      </c>
      <c r="D532" s="18" t="s">
        <v>96</v>
      </c>
      <c r="E532" s="18" t="s">
        <v>50</v>
      </c>
      <c r="F532" s="20" t="n">
        <v>321</v>
      </c>
      <c r="G532" s="20" t="n">
        <v>75.44</v>
      </c>
      <c r="H532" s="18" t="n">
        <v>3</v>
      </c>
    </row>
    <row r="533" customFormat="false" ht="15" hidden="false" customHeight="true" outlineLevel="0" collapsed="false">
      <c r="A533" s="18" t="s">
        <v>578</v>
      </c>
      <c r="B533" s="19" t="n">
        <v>45554</v>
      </c>
      <c r="C533" s="18" t="s">
        <v>19</v>
      </c>
      <c r="D533" s="18" t="s">
        <v>106</v>
      </c>
      <c r="E533" s="18" t="s">
        <v>25</v>
      </c>
      <c r="F533" s="20" t="n">
        <v>18765</v>
      </c>
      <c r="G533" s="20" t="n">
        <v>5479.38</v>
      </c>
      <c r="H533" s="18" t="n">
        <v>9</v>
      </c>
    </row>
    <row r="534" customFormat="false" ht="15" hidden="false" customHeight="true" outlineLevel="0" collapsed="false">
      <c r="A534" s="18" t="s">
        <v>579</v>
      </c>
      <c r="B534" s="19" t="n">
        <v>45585</v>
      </c>
      <c r="C534" s="18" t="s">
        <v>27</v>
      </c>
      <c r="D534" s="18" t="s">
        <v>91</v>
      </c>
      <c r="E534" s="18" t="s">
        <v>25</v>
      </c>
      <c r="F534" s="20" t="n">
        <v>22624</v>
      </c>
      <c r="G534" s="20" t="n">
        <v>3529.34</v>
      </c>
      <c r="H534" s="18" t="n">
        <v>7</v>
      </c>
    </row>
    <row r="535" customFormat="false" ht="15" hidden="false" customHeight="true" outlineLevel="0" collapsed="false">
      <c r="A535" s="18" t="s">
        <v>580</v>
      </c>
      <c r="B535" s="19" t="n">
        <v>45295</v>
      </c>
      <c r="C535" s="18" t="s">
        <v>41</v>
      </c>
      <c r="D535" s="18" t="s">
        <v>20</v>
      </c>
      <c r="E535" s="18" t="s">
        <v>21</v>
      </c>
      <c r="F535" s="20" t="n">
        <v>68684</v>
      </c>
      <c r="G535" s="20" t="n">
        <v>14354.96</v>
      </c>
      <c r="H535" s="18" t="n">
        <v>4</v>
      </c>
    </row>
    <row r="536" customFormat="false" ht="15" hidden="false" customHeight="true" outlineLevel="0" collapsed="false">
      <c r="A536" s="18" t="s">
        <v>581</v>
      </c>
      <c r="B536" s="19" t="n">
        <v>45607</v>
      </c>
      <c r="C536" s="18" t="s">
        <v>39</v>
      </c>
      <c r="D536" s="18" t="s">
        <v>75</v>
      </c>
      <c r="E536" s="18" t="s">
        <v>29</v>
      </c>
      <c r="F536" s="20" t="n">
        <v>14215</v>
      </c>
      <c r="G536" s="20" t="n">
        <v>2004.31</v>
      </c>
      <c r="H536" s="18" t="n">
        <v>5</v>
      </c>
    </row>
    <row r="537" customFormat="false" ht="15" hidden="false" customHeight="true" outlineLevel="0" collapsed="false">
      <c r="A537" s="18" t="s">
        <v>321</v>
      </c>
      <c r="B537" s="19" t="n">
        <v>45400</v>
      </c>
      <c r="C537" s="18" t="s">
        <v>27</v>
      </c>
      <c r="D537" s="18" t="s">
        <v>70</v>
      </c>
      <c r="E537" s="18" t="s">
        <v>21</v>
      </c>
      <c r="F537" s="20" t="n">
        <v>209658</v>
      </c>
      <c r="G537" s="20" t="n">
        <v>49059.97</v>
      </c>
      <c r="H537" s="18" t="n">
        <v>6</v>
      </c>
    </row>
    <row r="538" customFormat="false" ht="15" hidden="false" customHeight="true" outlineLevel="0" collapsed="false">
      <c r="A538" s="18" t="s">
        <v>582</v>
      </c>
      <c r="B538" s="19" t="n">
        <v>45333</v>
      </c>
      <c r="C538" s="18" t="s">
        <v>23</v>
      </c>
      <c r="D538" s="18" t="s">
        <v>64</v>
      </c>
      <c r="E538" s="18" t="s">
        <v>32</v>
      </c>
      <c r="F538" s="20" t="n">
        <v>406966</v>
      </c>
      <c r="G538" s="20" t="n">
        <v>45580.19</v>
      </c>
      <c r="H538" s="18" t="n">
        <v>7</v>
      </c>
    </row>
    <row r="539" customFormat="false" ht="15" hidden="false" customHeight="true" outlineLevel="0" collapsed="false">
      <c r="A539" s="18" t="s">
        <v>454</v>
      </c>
      <c r="B539" s="19" t="n">
        <v>45435</v>
      </c>
      <c r="C539" s="18" t="s">
        <v>23</v>
      </c>
      <c r="D539" s="18" t="s">
        <v>34</v>
      </c>
      <c r="E539" s="18" t="s">
        <v>25</v>
      </c>
      <c r="F539" s="20" t="n">
        <v>5430</v>
      </c>
      <c r="G539" s="20" t="n">
        <v>955.68</v>
      </c>
      <c r="H539" s="18" t="n">
        <v>10</v>
      </c>
    </row>
    <row r="540" customFormat="false" ht="15" hidden="false" customHeight="true" outlineLevel="0" collapsed="false">
      <c r="A540" s="18" t="s">
        <v>583</v>
      </c>
      <c r="B540" s="19" t="n">
        <v>45315</v>
      </c>
      <c r="C540" s="18" t="s">
        <v>19</v>
      </c>
      <c r="D540" s="18" t="s">
        <v>86</v>
      </c>
      <c r="E540" s="18" t="s">
        <v>21</v>
      </c>
      <c r="F540" s="20" t="n">
        <v>392776</v>
      </c>
      <c r="G540" s="20" t="n">
        <v>77769.65</v>
      </c>
      <c r="H540" s="18" t="n">
        <v>8</v>
      </c>
    </row>
    <row r="541" customFormat="false" ht="15" hidden="false" customHeight="true" outlineLevel="0" collapsed="false">
      <c r="A541" s="18" t="s">
        <v>584</v>
      </c>
      <c r="B541" s="19" t="n">
        <v>45593</v>
      </c>
      <c r="C541" s="18" t="s">
        <v>19</v>
      </c>
      <c r="D541" s="18" t="s">
        <v>93</v>
      </c>
      <c r="E541" s="18" t="s">
        <v>32</v>
      </c>
      <c r="F541" s="20" t="n">
        <v>77680</v>
      </c>
      <c r="G541" s="20" t="n">
        <v>10176.08</v>
      </c>
      <c r="H541" s="18" t="n">
        <v>8</v>
      </c>
    </row>
    <row r="542" customFormat="false" ht="15" hidden="false" customHeight="true" outlineLevel="0" collapsed="false">
      <c r="A542" s="18" t="s">
        <v>585</v>
      </c>
      <c r="B542" s="19" t="n">
        <v>45601</v>
      </c>
      <c r="C542" s="18" t="s">
        <v>19</v>
      </c>
      <c r="D542" s="18" t="s">
        <v>46</v>
      </c>
      <c r="E542" s="18" t="s">
        <v>29</v>
      </c>
      <c r="F542" s="20" t="n">
        <v>3964</v>
      </c>
      <c r="G542" s="20" t="n">
        <v>428.11</v>
      </c>
      <c r="H542" s="18" t="n">
        <v>1</v>
      </c>
    </row>
    <row r="543" customFormat="false" ht="15" hidden="false" customHeight="true" outlineLevel="0" collapsed="false">
      <c r="A543" s="18" t="s">
        <v>586</v>
      </c>
      <c r="B543" s="19" t="n">
        <v>45354</v>
      </c>
      <c r="C543" s="18" t="s">
        <v>27</v>
      </c>
      <c r="D543" s="18" t="s">
        <v>93</v>
      </c>
      <c r="E543" s="18" t="s">
        <v>32</v>
      </c>
      <c r="F543" s="20" t="n">
        <v>99496</v>
      </c>
      <c r="G543" s="20" t="n">
        <v>13232.97</v>
      </c>
      <c r="H543" s="18" t="n">
        <v>8</v>
      </c>
    </row>
    <row r="544" customFormat="false" ht="15" hidden="false" customHeight="true" outlineLevel="0" collapsed="false">
      <c r="A544" s="18" t="s">
        <v>587</v>
      </c>
      <c r="B544" s="19" t="n">
        <v>45499</v>
      </c>
      <c r="C544" s="18" t="s">
        <v>23</v>
      </c>
      <c r="D544" s="18" t="s">
        <v>46</v>
      </c>
      <c r="E544" s="18" t="s">
        <v>29</v>
      </c>
      <c r="F544" s="20" t="n">
        <v>8144</v>
      </c>
      <c r="G544" s="20" t="n">
        <v>1588.08</v>
      </c>
      <c r="H544" s="18" t="n">
        <v>1</v>
      </c>
    </row>
    <row r="545" customFormat="false" ht="15" hidden="false" customHeight="true" outlineLevel="0" collapsed="false">
      <c r="A545" s="18" t="s">
        <v>588</v>
      </c>
      <c r="B545" s="19" t="n">
        <v>45543</v>
      </c>
      <c r="C545" s="18" t="s">
        <v>41</v>
      </c>
      <c r="D545" s="18" t="s">
        <v>96</v>
      </c>
      <c r="E545" s="18" t="s">
        <v>50</v>
      </c>
      <c r="F545" s="20" t="n">
        <v>462</v>
      </c>
      <c r="G545" s="20" t="n">
        <v>123.35</v>
      </c>
      <c r="H545" s="18" t="n">
        <v>6</v>
      </c>
    </row>
    <row r="546" customFormat="false" ht="15" hidden="false" customHeight="true" outlineLevel="0" collapsed="false">
      <c r="A546" s="18" t="s">
        <v>589</v>
      </c>
      <c r="B546" s="19" t="n">
        <v>45657</v>
      </c>
      <c r="C546" s="18" t="s">
        <v>27</v>
      </c>
      <c r="D546" s="18" t="s">
        <v>42</v>
      </c>
      <c r="E546" s="18" t="s">
        <v>21</v>
      </c>
      <c r="F546" s="20" t="n">
        <v>48402</v>
      </c>
      <c r="G546" s="20" t="n">
        <v>8421.95</v>
      </c>
      <c r="H546" s="18" t="n">
        <v>6</v>
      </c>
    </row>
    <row r="547" customFormat="false" ht="15" hidden="false" customHeight="true" outlineLevel="0" collapsed="false">
      <c r="A547" s="18" t="s">
        <v>590</v>
      </c>
      <c r="B547" s="19" t="n">
        <v>45456</v>
      </c>
      <c r="C547" s="18" t="s">
        <v>27</v>
      </c>
      <c r="D547" s="18" t="s">
        <v>24</v>
      </c>
      <c r="E547" s="18" t="s">
        <v>25</v>
      </c>
      <c r="F547" s="20" t="n">
        <v>2780</v>
      </c>
      <c r="G547" s="20" t="n">
        <v>558.78</v>
      </c>
      <c r="H547" s="18" t="n">
        <v>2</v>
      </c>
    </row>
    <row r="548" customFormat="false" ht="15" hidden="false" customHeight="true" outlineLevel="0" collapsed="false">
      <c r="A548" s="18" t="s">
        <v>591</v>
      </c>
      <c r="B548" s="19" t="n">
        <v>45475</v>
      </c>
      <c r="C548" s="18" t="s">
        <v>39</v>
      </c>
      <c r="D548" s="18" t="s">
        <v>62</v>
      </c>
      <c r="E548" s="18" t="s">
        <v>50</v>
      </c>
      <c r="F548" s="20" t="n">
        <v>790</v>
      </c>
      <c r="G548" s="20" t="n">
        <v>199.87</v>
      </c>
      <c r="H548" s="18" t="n">
        <v>5</v>
      </c>
    </row>
    <row r="549" customFormat="false" ht="15" hidden="false" customHeight="true" outlineLevel="0" collapsed="false">
      <c r="A549" s="18" t="s">
        <v>592</v>
      </c>
      <c r="B549" s="19" t="n">
        <v>45420</v>
      </c>
      <c r="C549" s="18" t="s">
        <v>41</v>
      </c>
      <c r="D549" s="18" t="s">
        <v>55</v>
      </c>
      <c r="E549" s="18" t="s">
        <v>32</v>
      </c>
      <c r="F549" s="20" t="n">
        <v>53436</v>
      </c>
      <c r="G549" s="20" t="n">
        <v>9618.48</v>
      </c>
      <c r="H549" s="18" t="n">
        <v>4</v>
      </c>
    </row>
    <row r="550" customFormat="false" ht="15" hidden="false" customHeight="true" outlineLevel="0" collapsed="false">
      <c r="A550" s="18" t="s">
        <v>593</v>
      </c>
      <c r="B550" s="19" t="n">
        <v>45378</v>
      </c>
      <c r="C550" s="18" t="s">
        <v>39</v>
      </c>
      <c r="D550" s="18" t="s">
        <v>83</v>
      </c>
      <c r="E550" s="18" t="s">
        <v>21</v>
      </c>
      <c r="F550" s="20" t="n">
        <v>34485</v>
      </c>
      <c r="G550" s="20" t="n">
        <v>6345.24</v>
      </c>
      <c r="H550" s="18" t="n">
        <v>5</v>
      </c>
    </row>
    <row r="551" customFormat="false" ht="15" hidden="false" customHeight="true" outlineLevel="0" collapsed="false">
      <c r="A551" s="18" t="s">
        <v>594</v>
      </c>
      <c r="B551" s="19" t="n">
        <v>45495</v>
      </c>
      <c r="C551" s="18" t="s">
        <v>23</v>
      </c>
      <c r="D551" s="18" t="s">
        <v>86</v>
      </c>
      <c r="E551" s="18" t="s">
        <v>21</v>
      </c>
      <c r="F551" s="20" t="n">
        <v>380025</v>
      </c>
      <c r="G551" s="20" t="n">
        <v>66504.38</v>
      </c>
      <c r="H551" s="18" t="n">
        <v>9</v>
      </c>
    </row>
    <row r="552" customFormat="false" ht="15" hidden="false" customHeight="true" outlineLevel="0" collapsed="false">
      <c r="A552" s="18" t="s">
        <v>595</v>
      </c>
      <c r="B552" s="19" t="n">
        <v>45508</v>
      </c>
      <c r="C552" s="18" t="s">
        <v>41</v>
      </c>
      <c r="D552" s="18" t="s">
        <v>34</v>
      </c>
      <c r="E552" s="18" t="s">
        <v>25</v>
      </c>
      <c r="F552" s="20" t="n">
        <v>4991</v>
      </c>
      <c r="G552" s="20" t="n">
        <v>1741.86</v>
      </c>
      <c r="H552" s="18" t="n">
        <v>7</v>
      </c>
    </row>
    <row r="553" customFormat="false" ht="15" hidden="false" customHeight="true" outlineLevel="0" collapsed="false">
      <c r="A553" s="18" t="s">
        <v>596</v>
      </c>
      <c r="B553" s="19" t="n">
        <v>45481</v>
      </c>
      <c r="C553" s="18" t="s">
        <v>19</v>
      </c>
      <c r="D553" s="18" t="s">
        <v>91</v>
      </c>
      <c r="E553" s="18" t="s">
        <v>25</v>
      </c>
      <c r="F553" s="20" t="n">
        <v>26286</v>
      </c>
      <c r="G553" s="20" t="n">
        <v>8884.67</v>
      </c>
      <c r="H553" s="18" t="n">
        <v>6</v>
      </c>
    </row>
    <row r="554" customFormat="false" ht="15" hidden="false" customHeight="true" outlineLevel="0" collapsed="false">
      <c r="A554" s="18" t="s">
        <v>597</v>
      </c>
      <c r="B554" s="19" t="n">
        <v>45626</v>
      </c>
      <c r="C554" s="18" t="s">
        <v>19</v>
      </c>
      <c r="D554" s="18" t="s">
        <v>106</v>
      </c>
      <c r="E554" s="18" t="s">
        <v>25</v>
      </c>
      <c r="F554" s="20" t="n">
        <v>4216</v>
      </c>
      <c r="G554" s="20" t="n">
        <v>1197.34</v>
      </c>
      <c r="H554" s="18" t="n">
        <v>4</v>
      </c>
    </row>
    <row r="555" customFormat="false" ht="15" hidden="false" customHeight="true" outlineLevel="0" collapsed="false">
      <c r="A555" s="18" t="s">
        <v>598</v>
      </c>
      <c r="B555" s="19" t="n">
        <v>45527</v>
      </c>
      <c r="C555" s="18" t="s">
        <v>39</v>
      </c>
      <c r="D555" s="18" t="s">
        <v>49</v>
      </c>
      <c r="E555" s="18" t="s">
        <v>50</v>
      </c>
      <c r="F555" s="20" t="n">
        <v>258</v>
      </c>
      <c r="G555" s="20" t="n">
        <v>101.39</v>
      </c>
      <c r="H555" s="18" t="n">
        <v>3</v>
      </c>
    </row>
    <row r="556" customFormat="false" ht="15" hidden="false" customHeight="true" outlineLevel="0" collapsed="false">
      <c r="A556" s="18" t="s">
        <v>599</v>
      </c>
      <c r="B556" s="19" t="n">
        <v>45621</v>
      </c>
      <c r="C556" s="18" t="s">
        <v>19</v>
      </c>
      <c r="D556" s="18" t="s">
        <v>93</v>
      </c>
      <c r="E556" s="18" t="s">
        <v>32</v>
      </c>
      <c r="F556" s="20" t="n">
        <v>27279</v>
      </c>
      <c r="G556" s="20" t="n">
        <v>3955.45</v>
      </c>
      <c r="H556" s="18" t="n">
        <v>9</v>
      </c>
    </row>
    <row r="557" customFormat="false" ht="15" hidden="false" customHeight="true" outlineLevel="0" collapsed="false">
      <c r="A557" s="18" t="s">
        <v>600</v>
      </c>
      <c r="B557" s="19" t="n">
        <v>45579</v>
      </c>
      <c r="C557" s="18" t="s">
        <v>39</v>
      </c>
      <c r="D557" s="18" t="s">
        <v>75</v>
      </c>
      <c r="E557" s="18" t="s">
        <v>29</v>
      </c>
      <c r="F557" s="20" t="n">
        <v>17568</v>
      </c>
      <c r="G557" s="20" t="n">
        <v>2389.25</v>
      </c>
      <c r="H557" s="18" t="n">
        <v>8</v>
      </c>
    </row>
    <row r="558" customFormat="false" ht="15" hidden="false" customHeight="true" outlineLevel="0" collapsed="false">
      <c r="A558" s="18" t="s">
        <v>601</v>
      </c>
      <c r="B558" s="19" t="n">
        <v>45535</v>
      </c>
      <c r="C558" s="18" t="s">
        <v>19</v>
      </c>
      <c r="D558" s="18" t="s">
        <v>55</v>
      </c>
      <c r="E558" s="18" t="s">
        <v>32</v>
      </c>
      <c r="F558" s="20" t="n">
        <v>99925</v>
      </c>
      <c r="G558" s="20" t="n">
        <v>12990.25</v>
      </c>
      <c r="H558" s="18" t="n">
        <v>7</v>
      </c>
    </row>
    <row r="559" customFormat="false" ht="15" hidden="false" customHeight="true" outlineLevel="0" collapsed="false">
      <c r="A559" s="18" t="s">
        <v>602</v>
      </c>
      <c r="B559" s="19" t="n">
        <v>45436</v>
      </c>
      <c r="C559" s="18" t="s">
        <v>41</v>
      </c>
      <c r="D559" s="18" t="s">
        <v>28</v>
      </c>
      <c r="E559" s="18" t="s">
        <v>29</v>
      </c>
      <c r="F559" s="20" t="n">
        <v>37278</v>
      </c>
      <c r="G559" s="20" t="n">
        <v>6710.04</v>
      </c>
      <c r="H559" s="18" t="n">
        <v>6</v>
      </c>
    </row>
    <row r="560" customFormat="false" ht="15" hidden="false" customHeight="true" outlineLevel="0" collapsed="false">
      <c r="A560" s="18" t="s">
        <v>603</v>
      </c>
      <c r="B560" s="19" t="n">
        <v>45352</v>
      </c>
      <c r="C560" s="18" t="s">
        <v>27</v>
      </c>
      <c r="D560" s="18" t="s">
        <v>42</v>
      </c>
      <c r="E560" s="18" t="s">
        <v>21</v>
      </c>
      <c r="F560" s="20" t="n">
        <v>155300</v>
      </c>
      <c r="G560" s="20" t="n">
        <v>22829.1</v>
      </c>
      <c r="H560" s="18" t="n">
        <v>10</v>
      </c>
    </row>
    <row r="561" customFormat="false" ht="15" hidden="false" customHeight="true" outlineLevel="0" collapsed="false">
      <c r="A561" s="18" t="s">
        <v>604</v>
      </c>
      <c r="B561" s="19" t="n">
        <v>45295</v>
      </c>
      <c r="C561" s="18" t="s">
        <v>23</v>
      </c>
      <c r="D561" s="18" t="s">
        <v>28</v>
      </c>
      <c r="E561" s="18" t="s">
        <v>29</v>
      </c>
      <c r="F561" s="20" t="n">
        <v>12514</v>
      </c>
      <c r="G561" s="20" t="n">
        <v>1263.91</v>
      </c>
      <c r="H561" s="18" t="n">
        <v>2</v>
      </c>
    </row>
    <row r="562" customFormat="false" ht="15" hidden="false" customHeight="true" outlineLevel="0" collapsed="false">
      <c r="A562" s="18" t="s">
        <v>605</v>
      </c>
      <c r="B562" s="19" t="n">
        <v>45480</v>
      </c>
      <c r="C562" s="18" t="s">
        <v>39</v>
      </c>
      <c r="D562" s="18" t="s">
        <v>120</v>
      </c>
      <c r="E562" s="18" t="s">
        <v>29</v>
      </c>
      <c r="F562" s="20" t="n">
        <v>182540</v>
      </c>
      <c r="G562" s="20" t="n">
        <v>31396.88</v>
      </c>
      <c r="H562" s="18" t="n">
        <v>10</v>
      </c>
    </row>
    <row r="563" customFormat="false" ht="15" hidden="false" customHeight="true" outlineLevel="0" collapsed="false">
      <c r="A563" s="18" t="s">
        <v>606</v>
      </c>
      <c r="B563" s="19" t="n">
        <v>45305</v>
      </c>
      <c r="C563" s="18" t="s">
        <v>39</v>
      </c>
      <c r="D563" s="18" t="s">
        <v>31</v>
      </c>
      <c r="E563" s="18" t="s">
        <v>32</v>
      </c>
      <c r="F563" s="20" t="n">
        <v>520632</v>
      </c>
      <c r="G563" s="20" t="n">
        <v>82780.49</v>
      </c>
      <c r="H563" s="18" t="n">
        <v>6</v>
      </c>
    </row>
    <row r="564" customFormat="false" ht="15" hidden="false" customHeight="true" outlineLevel="0" collapsed="false">
      <c r="A564" s="18" t="s">
        <v>607</v>
      </c>
      <c r="B564" s="19" t="n">
        <v>45396</v>
      </c>
      <c r="C564" s="18" t="s">
        <v>19</v>
      </c>
      <c r="D564" s="18" t="s">
        <v>42</v>
      </c>
      <c r="E564" s="18" t="s">
        <v>21</v>
      </c>
      <c r="F564" s="20" t="n">
        <v>52420</v>
      </c>
      <c r="G564" s="20" t="n">
        <v>7181.54</v>
      </c>
      <c r="H564" s="18" t="n">
        <v>5</v>
      </c>
    </row>
    <row r="565" customFormat="false" ht="15" hidden="false" customHeight="true" outlineLevel="0" collapsed="false">
      <c r="A565" s="18" t="s">
        <v>608</v>
      </c>
      <c r="B565" s="19" t="n">
        <v>45327</v>
      </c>
      <c r="C565" s="18" t="s">
        <v>39</v>
      </c>
      <c r="D565" s="18" t="s">
        <v>70</v>
      </c>
      <c r="E565" s="18" t="s">
        <v>21</v>
      </c>
      <c r="F565" s="20" t="n">
        <v>198128</v>
      </c>
      <c r="G565" s="20" t="n">
        <v>32294.86</v>
      </c>
      <c r="H565" s="18" t="n">
        <v>8</v>
      </c>
    </row>
    <row r="566" customFormat="false" ht="15" hidden="false" customHeight="true" outlineLevel="0" collapsed="false">
      <c r="A566" s="18" t="s">
        <v>609</v>
      </c>
      <c r="B566" s="19" t="n">
        <v>45476</v>
      </c>
      <c r="C566" s="18" t="s">
        <v>27</v>
      </c>
      <c r="D566" s="18" t="s">
        <v>96</v>
      </c>
      <c r="E566" s="18" t="s">
        <v>50</v>
      </c>
      <c r="F566" s="20" t="n">
        <v>1096</v>
      </c>
      <c r="G566" s="20" t="n">
        <v>229.06</v>
      </c>
      <c r="H566" s="18" t="n">
        <v>8</v>
      </c>
    </row>
    <row r="567" customFormat="false" ht="15" hidden="false" customHeight="true" outlineLevel="0" collapsed="false">
      <c r="A567" s="18" t="s">
        <v>610</v>
      </c>
      <c r="B567" s="19" t="n">
        <v>45292</v>
      </c>
      <c r="C567" s="18" t="s">
        <v>23</v>
      </c>
      <c r="D567" s="18" t="s">
        <v>58</v>
      </c>
      <c r="E567" s="18" t="s">
        <v>50</v>
      </c>
      <c r="F567" s="20" t="n">
        <v>412</v>
      </c>
      <c r="G567" s="20" t="n">
        <v>116.6</v>
      </c>
      <c r="H567" s="18" t="n">
        <v>4</v>
      </c>
    </row>
    <row r="568" customFormat="false" ht="15" hidden="false" customHeight="true" outlineLevel="0" collapsed="false">
      <c r="A568" s="18" t="s">
        <v>611</v>
      </c>
      <c r="B568" s="19" t="n">
        <v>45600</v>
      </c>
      <c r="C568" s="18" t="s">
        <v>39</v>
      </c>
      <c r="D568" s="18" t="s">
        <v>96</v>
      </c>
      <c r="E568" s="18" t="s">
        <v>50</v>
      </c>
      <c r="F568" s="20" t="n">
        <v>282</v>
      </c>
      <c r="G568" s="20" t="n">
        <v>110.83</v>
      </c>
      <c r="H568" s="18" t="n">
        <v>6</v>
      </c>
    </row>
    <row r="569" customFormat="false" ht="15" hidden="false" customHeight="true" outlineLevel="0" collapsed="false">
      <c r="A569" s="18" t="s">
        <v>612</v>
      </c>
      <c r="B569" s="19" t="n">
        <v>45655</v>
      </c>
      <c r="C569" s="18" t="s">
        <v>27</v>
      </c>
      <c r="D569" s="18" t="s">
        <v>86</v>
      </c>
      <c r="E569" s="18" t="s">
        <v>21</v>
      </c>
      <c r="F569" s="20" t="n">
        <v>83088</v>
      </c>
      <c r="G569" s="20" t="n">
        <v>10219.82</v>
      </c>
      <c r="H569" s="18" t="n">
        <v>2</v>
      </c>
    </row>
    <row r="570" customFormat="false" ht="15" hidden="false" customHeight="true" outlineLevel="0" collapsed="false">
      <c r="A570" s="18" t="s">
        <v>613</v>
      </c>
      <c r="B570" s="19" t="n">
        <v>45336</v>
      </c>
      <c r="C570" s="18" t="s">
        <v>19</v>
      </c>
      <c r="D570" s="18" t="s">
        <v>62</v>
      </c>
      <c r="E570" s="18" t="s">
        <v>50</v>
      </c>
      <c r="F570" s="20" t="n">
        <v>632</v>
      </c>
      <c r="G570" s="20" t="n">
        <v>198.45</v>
      </c>
      <c r="H570" s="18" t="n">
        <v>4</v>
      </c>
    </row>
    <row r="571" customFormat="false" ht="15" hidden="false" customHeight="true" outlineLevel="0" collapsed="false">
      <c r="A571" s="18" t="s">
        <v>614</v>
      </c>
      <c r="B571" s="19" t="n">
        <v>45297</v>
      </c>
      <c r="C571" s="18" t="s">
        <v>39</v>
      </c>
      <c r="D571" s="18" t="s">
        <v>96</v>
      </c>
      <c r="E571" s="18" t="s">
        <v>50</v>
      </c>
      <c r="F571" s="20" t="n">
        <v>546</v>
      </c>
      <c r="G571" s="20" t="n">
        <v>165.44</v>
      </c>
      <c r="H571" s="18" t="n">
        <v>6</v>
      </c>
    </row>
    <row r="572" customFormat="false" ht="15" hidden="false" customHeight="true" outlineLevel="0" collapsed="false">
      <c r="A572" s="18" t="s">
        <v>615</v>
      </c>
      <c r="B572" s="19" t="n">
        <v>45471</v>
      </c>
      <c r="C572" s="18" t="s">
        <v>27</v>
      </c>
      <c r="D572" s="18" t="s">
        <v>70</v>
      </c>
      <c r="E572" s="18" t="s">
        <v>21</v>
      </c>
      <c r="F572" s="20" t="n">
        <v>54357</v>
      </c>
      <c r="G572" s="20" t="n">
        <v>8479.69</v>
      </c>
      <c r="H572" s="18" t="n">
        <v>3</v>
      </c>
    </row>
    <row r="573" customFormat="false" ht="15" hidden="false" customHeight="true" outlineLevel="0" collapsed="false">
      <c r="A573" s="18" t="s">
        <v>616</v>
      </c>
      <c r="B573" s="19" t="n">
        <v>45568</v>
      </c>
      <c r="C573" s="18" t="s">
        <v>41</v>
      </c>
      <c r="D573" s="18" t="s">
        <v>55</v>
      </c>
      <c r="E573" s="18" t="s">
        <v>32</v>
      </c>
      <c r="F573" s="20" t="n">
        <v>91596</v>
      </c>
      <c r="G573" s="20" t="n">
        <v>11083.12</v>
      </c>
      <c r="H573" s="18" t="n">
        <v>4</v>
      </c>
    </row>
    <row r="574" customFormat="false" ht="15" hidden="false" customHeight="true" outlineLevel="0" collapsed="false">
      <c r="A574" s="18" t="s">
        <v>617</v>
      </c>
      <c r="B574" s="19" t="n">
        <v>45635</v>
      </c>
      <c r="C574" s="18" t="s">
        <v>41</v>
      </c>
      <c r="D574" s="18" t="s">
        <v>44</v>
      </c>
      <c r="E574" s="18" t="s">
        <v>32</v>
      </c>
      <c r="F574" s="20" t="n">
        <v>25632</v>
      </c>
      <c r="G574" s="20" t="n">
        <v>3819.17</v>
      </c>
      <c r="H574" s="18" t="n">
        <v>6</v>
      </c>
    </row>
    <row r="575" customFormat="false" ht="15" hidden="false" customHeight="true" outlineLevel="0" collapsed="false">
      <c r="A575" s="18" t="s">
        <v>618</v>
      </c>
      <c r="B575" s="19" t="n">
        <v>45352</v>
      </c>
      <c r="C575" s="18" t="s">
        <v>19</v>
      </c>
      <c r="D575" s="18" t="s">
        <v>36</v>
      </c>
      <c r="E575" s="18" t="s">
        <v>25</v>
      </c>
      <c r="F575" s="20" t="n">
        <v>25775</v>
      </c>
      <c r="G575" s="20" t="n">
        <v>4974.57</v>
      </c>
      <c r="H575" s="18" t="n">
        <v>5</v>
      </c>
    </row>
    <row r="576" customFormat="false" ht="15" hidden="false" customHeight="true" outlineLevel="0" collapsed="false">
      <c r="A576" s="18" t="s">
        <v>619</v>
      </c>
      <c r="B576" s="19" t="n">
        <v>45459</v>
      </c>
      <c r="C576" s="18" t="s">
        <v>39</v>
      </c>
      <c r="D576" s="18" t="s">
        <v>55</v>
      </c>
      <c r="E576" s="18" t="s">
        <v>32</v>
      </c>
      <c r="F576" s="20" t="n">
        <v>141252</v>
      </c>
      <c r="G576" s="20" t="n">
        <v>16950.24</v>
      </c>
      <c r="H576" s="18" t="n">
        <v>4</v>
      </c>
    </row>
    <row r="577" customFormat="false" ht="15" hidden="false" customHeight="true" outlineLevel="0" collapsed="false">
      <c r="A577" s="18" t="s">
        <v>620</v>
      </c>
      <c r="B577" s="19" t="n">
        <v>45531</v>
      </c>
      <c r="C577" s="18" t="s">
        <v>19</v>
      </c>
      <c r="D577" s="18" t="s">
        <v>20</v>
      </c>
      <c r="E577" s="18" t="s">
        <v>21</v>
      </c>
      <c r="F577" s="20" t="n">
        <v>16834</v>
      </c>
      <c r="G577" s="20" t="n">
        <v>2373.59</v>
      </c>
      <c r="H577" s="18" t="n">
        <v>2</v>
      </c>
    </row>
    <row r="578" customFormat="false" ht="15" hidden="false" customHeight="true" outlineLevel="0" collapsed="false">
      <c r="A578" s="18" t="s">
        <v>621</v>
      </c>
      <c r="B578" s="19" t="n">
        <v>45489</v>
      </c>
      <c r="C578" s="18" t="s">
        <v>27</v>
      </c>
      <c r="D578" s="18" t="s">
        <v>24</v>
      </c>
      <c r="E578" s="18" t="s">
        <v>25</v>
      </c>
      <c r="F578" s="20" t="n">
        <v>13496</v>
      </c>
      <c r="G578" s="20" t="n">
        <v>4413.19</v>
      </c>
      <c r="H578" s="18" t="n">
        <v>7</v>
      </c>
    </row>
    <row r="579" customFormat="false" ht="15" hidden="false" customHeight="true" outlineLevel="0" collapsed="false">
      <c r="A579" s="18" t="s">
        <v>622</v>
      </c>
      <c r="B579" s="19" t="n">
        <v>45361</v>
      </c>
      <c r="C579" s="18" t="s">
        <v>27</v>
      </c>
      <c r="D579" s="18" t="s">
        <v>62</v>
      </c>
      <c r="E579" s="18" t="s">
        <v>50</v>
      </c>
      <c r="F579" s="20" t="n">
        <v>1068</v>
      </c>
      <c r="G579" s="20" t="n">
        <v>303.31</v>
      </c>
      <c r="H579" s="18" t="n">
        <v>6</v>
      </c>
    </row>
    <row r="580" customFormat="false" ht="15" hidden="false" customHeight="true" outlineLevel="0" collapsed="false">
      <c r="A580" s="18" t="s">
        <v>623</v>
      </c>
      <c r="B580" s="19" t="n">
        <v>45405</v>
      </c>
      <c r="C580" s="18" t="s">
        <v>27</v>
      </c>
      <c r="D580" s="18" t="s">
        <v>83</v>
      </c>
      <c r="E580" s="18" t="s">
        <v>21</v>
      </c>
      <c r="F580" s="20" t="n">
        <v>28200</v>
      </c>
      <c r="G580" s="20" t="n">
        <v>5865.6</v>
      </c>
      <c r="H580" s="18" t="n">
        <v>6</v>
      </c>
    </row>
    <row r="581" customFormat="false" ht="15" hidden="false" customHeight="true" outlineLevel="0" collapsed="false">
      <c r="A581" s="18" t="s">
        <v>624</v>
      </c>
      <c r="B581" s="19" t="n">
        <v>45535</v>
      </c>
      <c r="C581" s="18" t="s">
        <v>27</v>
      </c>
      <c r="D581" s="18" t="s">
        <v>83</v>
      </c>
      <c r="E581" s="18" t="s">
        <v>21</v>
      </c>
      <c r="F581" s="20" t="n">
        <v>28172</v>
      </c>
      <c r="G581" s="20" t="n">
        <v>6197.84</v>
      </c>
      <c r="H581" s="18" t="n">
        <v>4</v>
      </c>
    </row>
    <row r="582" customFormat="false" ht="15" hidden="false" customHeight="true" outlineLevel="0" collapsed="false">
      <c r="A582" s="18" t="s">
        <v>616</v>
      </c>
      <c r="B582" s="19" t="n">
        <v>45568</v>
      </c>
      <c r="C582" s="18" t="s">
        <v>41</v>
      </c>
      <c r="D582" s="18" t="s">
        <v>55</v>
      </c>
      <c r="E582" s="18" t="s">
        <v>32</v>
      </c>
      <c r="F582" s="20" t="n">
        <v>91596</v>
      </c>
      <c r="G582" s="20"/>
      <c r="H582" s="18" t="n">
        <v>4</v>
      </c>
    </row>
    <row r="583" customFormat="false" ht="15" hidden="false" customHeight="true" outlineLevel="0" collapsed="false">
      <c r="A583" s="18" t="s">
        <v>625</v>
      </c>
      <c r="B583" s="19" t="n">
        <v>45329</v>
      </c>
      <c r="C583" s="18" t="s">
        <v>19</v>
      </c>
      <c r="D583" s="18" t="s">
        <v>28</v>
      </c>
      <c r="E583" s="18" t="s">
        <v>29</v>
      </c>
      <c r="F583" s="20" t="n">
        <v>8748</v>
      </c>
      <c r="G583" s="20" t="n">
        <v>1565.89</v>
      </c>
      <c r="H583" s="18" t="n">
        <v>2</v>
      </c>
    </row>
    <row r="584" customFormat="false" ht="15" hidden="false" customHeight="true" outlineLevel="0" collapsed="false">
      <c r="A584" s="18" t="s">
        <v>626</v>
      </c>
      <c r="B584" s="19" t="n">
        <v>45593</v>
      </c>
      <c r="C584" s="18" t="s">
        <v>39</v>
      </c>
      <c r="D584" s="18" t="s">
        <v>31</v>
      </c>
      <c r="E584" s="18" t="s">
        <v>32</v>
      </c>
      <c r="F584" s="20" t="n">
        <v>162778</v>
      </c>
      <c r="G584" s="20" t="n">
        <v>23277.25</v>
      </c>
      <c r="H584" s="18" t="n">
        <v>2</v>
      </c>
    </row>
    <row r="585" customFormat="false" ht="15" hidden="false" customHeight="true" outlineLevel="0" collapsed="false">
      <c r="A585" s="18" t="s">
        <v>627</v>
      </c>
      <c r="B585" s="19" t="n">
        <v>45599</v>
      </c>
      <c r="C585" s="18" t="s">
        <v>23</v>
      </c>
      <c r="D585" s="18" t="s">
        <v>70</v>
      </c>
      <c r="E585" s="18" t="s">
        <v>21</v>
      </c>
      <c r="F585" s="20" t="n">
        <v>349929</v>
      </c>
      <c r="G585" s="20" t="n">
        <v>59487.93</v>
      </c>
      <c r="H585" s="18" t="n">
        <v>9</v>
      </c>
    </row>
    <row r="586" customFormat="false" ht="15" hidden="false" customHeight="true" outlineLevel="0" collapsed="false">
      <c r="A586" s="18" t="s">
        <v>628</v>
      </c>
      <c r="B586" s="19" t="n">
        <v>45400</v>
      </c>
      <c r="C586" s="18" t="s">
        <v>41</v>
      </c>
      <c r="D586" s="18" t="s">
        <v>46</v>
      </c>
      <c r="E586" s="18" t="s">
        <v>29</v>
      </c>
      <c r="F586" s="20" t="n">
        <v>56412</v>
      </c>
      <c r="G586" s="20" t="n">
        <v>6318.14</v>
      </c>
      <c r="H586" s="18" t="n">
        <v>9</v>
      </c>
    </row>
    <row r="587" customFormat="false" ht="15" hidden="false" customHeight="true" outlineLevel="0" collapsed="false">
      <c r="A587" s="18" t="s">
        <v>629</v>
      </c>
      <c r="B587" s="19" t="n">
        <v>45311</v>
      </c>
      <c r="C587" s="18" t="s">
        <v>39</v>
      </c>
      <c r="D587" s="18" t="s">
        <v>49</v>
      </c>
      <c r="E587" s="18" t="s">
        <v>50</v>
      </c>
      <c r="F587" s="20" t="n">
        <v>72</v>
      </c>
      <c r="G587" s="20" t="n">
        <v>28.73</v>
      </c>
      <c r="H587" s="18" t="n">
        <v>3</v>
      </c>
    </row>
    <row r="588" customFormat="false" ht="15" hidden="false" customHeight="true" outlineLevel="0" collapsed="false">
      <c r="A588" s="18" t="s">
        <v>630</v>
      </c>
      <c r="B588" s="19" t="n">
        <v>45396</v>
      </c>
      <c r="C588" s="18" t="s">
        <v>19</v>
      </c>
      <c r="D588" s="18" t="s">
        <v>20</v>
      </c>
      <c r="E588" s="18" t="s">
        <v>21</v>
      </c>
      <c r="F588" s="20" t="n">
        <v>46560</v>
      </c>
      <c r="G588" s="20" t="n">
        <v>7123.68</v>
      </c>
      <c r="H588" s="18" t="n">
        <v>3</v>
      </c>
    </row>
    <row r="589" customFormat="false" ht="15" hidden="false" customHeight="true" outlineLevel="0" collapsed="false">
      <c r="A589" s="18" t="s">
        <v>631</v>
      </c>
      <c r="B589" s="19" t="n">
        <v>45623</v>
      </c>
      <c r="C589" s="18" t="s">
        <v>19</v>
      </c>
      <c r="D589" s="18" t="s">
        <v>31</v>
      </c>
      <c r="E589" s="18" t="s">
        <v>32</v>
      </c>
      <c r="F589" s="20" t="n">
        <v>642393</v>
      </c>
      <c r="G589" s="20" t="n">
        <v>60384.94</v>
      </c>
      <c r="H589" s="18" t="n">
        <v>9</v>
      </c>
    </row>
    <row r="590" customFormat="false" ht="15" hidden="false" customHeight="true" outlineLevel="0" collapsed="false">
      <c r="A590" s="18" t="s">
        <v>480</v>
      </c>
      <c r="B590" s="19" t="n">
        <v>45468</v>
      </c>
      <c r="C590" s="18" t="s">
        <v>23</v>
      </c>
      <c r="D590" s="18" t="s">
        <v>83</v>
      </c>
      <c r="E590" s="18" t="s">
        <v>21</v>
      </c>
      <c r="F590" s="20" t="n">
        <v>10027</v>
      </c>
      <c r="G590" s="20" t="n">
        <v>1905.13</v>
      </c>
      <c r="H590" s="18" t="n">
        <v>1</v>
      </c>
    </row>
    <row r="591" customFormat="false" ht="15" hidden="false" customHeight="true" outlineLevel="0" collapsed="false">
      <c r="A591" s="18" t="s">
        <v>397</v>
      </c>
      <c r="B591" s="19" t="n">
        <v>45550</v>
      </c>
      <c r="C591" s="18" t="s">
        <v>39</v>
      </c>
      <c r="D591" s="18" t="s">
        <v>96</v>
      </c>
      <c r="E591" s="18" t="s">
        <v>50</v>
      </c>
      <c r="F591" s="20"/>
      <c r="G591" s="20" t="n">
        <v>31.92</v>
      </c>
      <c r="H591" s="18" t="n">
        <v>1</v>
      </c>
    </row>
    <row r="592" customFormat="false" ht="15" hidden="false" customHeight="true" outlineLevel="0" collapsed="false">
      <c r="A592" s="18" t="s">
        <v>632</v>
      </c>
      <c r="B592" s="19" t="n">
        <v>45426</v>
      </c>
      <c r="C592" s="18" t="s">
        <v>23</v>
      </c>
      <c r="D592" s="18" t="s">
        <v>72</v>
      </c>
      <c r="E592" s="18" t="s">
        <v>29</v>
      </c>
      <c r="F592" s="20" t="n">
        <v>78480</v>
      </c>
      <c r="G592" s="20" t="n">
        <v>10830.24</v>
      </c>
      <c r="H592" s="18" t="n">
        <v>10</v>
      </c>
    </row>
    <row r="593" customFormat="false" ht="15" hidden="false" customHeight="true" outlineLevel="0" collapsed="false">
      <c r="A593" s="18" t="s">
        <v>633</v>
      </c>
      <c r="B593" s="19" t="n">
        <v>45584</v>
      </c>
      <c r="C593" s="18" t="s">
        <v>19</v>
      </c>
      <c r="D593" s="18" t="s">
        <v>46</v>
      </c>
      <c r="E593" s="18" t="s">
        <v>29</v>
      </c>
      <c r="F593" s="20" t="n">
        <v>41685</v>
      </c>
      <c r="G593" s="20" t="n">
        <v>4251.87</v>
      </c>
      <c r="H593" s="18" t="n">
        <v>5</v>
      </c>
    </row>
    <row r="594" customFormat="false" ht="15" hidden="false" customHeight="true" outlineLevel="0" collapsed="false">
      <c r="A594" s="18" t="s">
        <v>634</v>
      </c>
      <c r="B594" s="19" t="n">
        <v>45565</v>
      </c>
      <c r="C594" s="18" t="s">
        <v>27</v>
      </c>
      <c r="D594" s="18" t="s">
        <v>70</v>
      </c>
      <c r="E594" s="18" t="s">
        <v>21</v>
      </c>
      <c r="F594" s="20" t="n">
        <v>308688</v>
      </c>
      <c r="G594" s="20" t="n">
        <v>58650.72</v>
      </c>
      <c r="H594" s="18" t="n">
        <v>8</v>
      </c>
    </row>
    <row r="595" customFormat="false" ht="15" hidden="false" customHeight="true" outlineLevel="0" collapsed="false">
      <c r="A595" s="18" t="s">
        <v>635</v>
      </c>
      <c r="B595" s="19" t="n">
        <v>45430</v>
      </c>
      <c r="C595" s="18" t="s">
        <v>41</v>
      </c>
      <c r="D595" s="18" t="s">
        <v>93</v>
      </c>
      <c r="E595" s="18" t="s">
        <v>32</v>
      </c>
      <c r="F595" s="20" t="n">
        <v>9140</v>
      </c>
      <c r="G595" s="20" t="n">
        <v>1124.22</v>
      </c>
      <c r="H595" s="18" t="n">
        <v>2</v>
      </c>
    </row>
    <row r="596" customFormat="false" ht="15" hidden="false" customHeight="true" outlineLevel="0" collapsed="false">
      <c r="A596" s="18" t="s">
        <v>636</v>
      </c>
      <c r="B596" s="19" t="n">
        <v>45508</v>
      </c>
      <c r="C596" s="18" t="s">
        <v>39</v>
      </c>
      <c r="D596" s="18" t="s">
        <v>96</v>
      </c>
      <c r="E596" s="18" t="s">
        <v>50</v>
      </c>
      <c r="F596" s="20" t="n">
        <v>108</v>
      </c>
      <c r="G596" s="20" t="n">
        <v>29.92</v>
      </c>
      <c r="H596" s="18" t="n">
        <v>2</v>
      </c>
    </row>
    <row r="597" customFormat="false" ht="15" hidden="false" customHeight="true" outlineLevel="0" collapsed="false">
      <c r="A597" s="18" t="s">
        <v>637</v>
      </c>
      <c r="B597" s="19" t="n">
        <v>45319</v>
      </c>
      <c r="C597" s="18" t="s">
        <v>41</v>
      </c>
      <c r="D597" s="18" t="s">
        <v>20</v>
      </c>
      <c r="E597" s="18" t="s">
        <v>21</v>
      </c>
      <c r="F597" s="20" t="n">
        <v>76455</v>
      </c>
      <c r="G597" s="20" t="n">
        <v>16973.01</v>
      </c>
      <c r="H597" s="18" t="n">
        <v>5</v>
      </c>
    </row>
    <row r="598" customFormat="false" ht="15" hidden="false" customHeight="true" outlineLevel="0" collapsed="false">
      <c r="A598" s="18" t="s">
        <v>638</v>
      </c>
      <c r="B598" s="19" t="n">
        <v>45619</v>
      </c>
      <c r="C598" s="18" t="s">
        <v>27</v>
      </c>
      <c r="D598" s="18" t="s">
        <v>49</v>
      </c>
      <c r="E598" s="18" t="s">
        <v>50</v>
      </c>
      <c r="F598" s="20" t="n">
        <v>549</v>
      </c>
      <c r="G598" s="20" t="n">
        <v>119.13</v>
      </c>
      <c r="H598" s="18" t="n">
        <v>9</v>
      </c>
    </row>
    <row r="599" customFormat="false" ht="15" hidden="false" customHeight="true" outlineLevel="0" collapsed="false">
      <c r="A599" s="18" t="s">
        <v>639</v>
      </c>
      <c r="B599" s="19" t="n">
        <v>45338</v>
      </c>
      <c r="C599" s="18" t="s">
        <v>23</v>
      </c>
      <c r="D599" s="18" t="s">
        <v>120</v>
      </c>
      <c r="E599" s="18" t="s">
        <v>29</v>
      </c>
      <c r="F599" s="20" t="n">
        <v>110691</v>
      </c>
      <c r="G599" s="20" t="n">
        <v>16160.89</v>
      </c>
      <c r="H599" s="18" t="n">
        <v>9</v>
      </c>
    </row>
    <row r="600" customFormat="false" ht="15" hidden="false" customHeight="true" outlineLevel="0" collapsed="false">
      <c r="A600" s="18" t="s">
        <v>640</v>
      </c>
      <c r="B600" s="19" t="n">
        <v>45437</v>
      </c>
      <c r="C600" s="18" t="s">
        <v>39</v>
      </c>
      <c r="D600" s="18" t="s">
        <v>62</v>
      </c>
      <c r="E600" s="18" t="s">
        <v>50</v>
      </c>
      <c r="F600" s="20" t="n">
        <v>1053</v>
      </c>
      <c r="G600" s="20" t="n">
        <v>339.07</v>
      </c>
      <c r="H600" s="18" t="n">
        <v>9</v>
      </c>
    </row>
    <row r="601" customFormat="false" ht="15" hidden="false" customHeight="true" outlineLevel="0" collapsed="false">
      <c r="A601" s="18" t="s">
        <v>641</v>
      </c>
      <c r="B601" s="19" t="n">
        <v>45639</v>
      </c>
      <c r="C601" s="18" t="s">
        <v>27</v>
      </c>
      <c r="D601" s="18" t="s">
        <v>28</v>
      </c>
      <c r="E601" s="18" t="s">
        <v>29</v>
      </c>
      <c r="F601" s="20" t="n">
        <v>35238</v>
      </c>
      <c r="G601" s="20" t="n">
        <v>6589.51</v>
      </c>
      <c r="H601" s="18" t="n">
        <v>7</v>
      </c>
    </row>
    <row r="602" customFormat="false" ht="15" hidden="false" customHeight="true" outlineLevel="0" collapsed="false">
      <c r="A602" s="18" t="s">
        <v>642</v>
      </c>
      <c r="B602" s="19" t="n">
        <v>45443</v>
      </c>
      <c r="C602" s="18" t="s">
        <v>23</v>
      </c>
      <c r="D602" s="18" t="s">
        <v>93</v>
      </c>
      <c r="E602" s="18" t="s">
        <v>32</v>
      </c>
      <c r="F602" s="20" t="n">
        <v>33552</v>
      </c>
      <c r="G602" s="20" t="n">
        <v>4898.59</v>
      </c>
      <c r="H602" s="18" t="n">
        <v>4</v>
      </c>
    </row>
    <row r="603" customFormat="false" ht="15" hidden="false" customHeight="true" outlineLevel="0" collapsed="false">
      <c r="A603" s="18" t="s">
        <v>643</v>
      </c>
      <c r="B603" s="19" t="n">
        <v>45501</v>
      </c>
      <c r="C603" s="18" t="s">
        <v>23</v>
      </c>
      <c r="D603" s="18" t="s">
        <v>55</v>
      </c>
      <c r="E603" s="18" t="s">
        <v>32</v>
      </c>
      <c r="F603" s="20" t="n">
        <v>98328</v>
      </c>
      <c r="G603" s="20" t="n">
        <v>14159.23</v>
      </c>
      <c r="H603" s="18" t="n">
        <v>3</v>
      </c>
    </row>
    <row r="604" customFormat="false" ht="15" hidden="false" customHeight="true" outlineLevel="0" collapsed="false">
      <c r="A604" s="18" t="s">
        <v>644</v>
      </c>
      <c r="B604" s="19" t="n">
        <v>45624</v>
      </c>
      <c r="C604" s="18" t="s">
        <v>19</v>
      </c>
      <c r="D604" s="18" t="s">
        <v>62</v>
      </c>
      <c r="E604" s="18" t="s">
        <v>50</v>
      </c>
      <c r="F604" s="20" t="n">
        <v>1395</v>
      </c>
      <c r="G604" s="20" t="n">
        <v>312.48</v>
      </c>
      <c r="H604" s="18" t="n">
        <v>9</v>
      </c>
    </row>
    <row r="605" customFormat="false" ht="15" hidden="false" customHeight="true" outlineLevel="0" collapsed="false">
      <c r="A605" s="18" t="s">
        <v>645</v>
      </c>
      <c r="B605" s="19" t="n">
        <v>45422</v>
      </c>
      <c r="C605" s="18" t="s">
        <v>41</v>
      </c>
      <c r="D605" s="18" t="s">
        <v>70</v>
      </c>
      <c r="E605" s="18" t="s">
        <v>21</v>
      </c>
      <c r="F605" s="20" t="n">
        <v>266040</v>
      </c>
      <c r="G605" s="20" t="n">
        <v>64381.68</v>
      </c>
      <c r="H605" s="18" t="n">
        <v>8</v>
      </c>
    </row>
    <row r="606" customFormat="false" ht="15" hidden="false" customHeight="true" outlineLevel="0" collapsed="false">
      <c r="A606" s="18" t="s">
        <v>109</v>
      </c>
      <c r="B606" s="19" t="n">
        <v>45380</v>
      </c>
      <c r="C606" s="18" t="s">
        <v>27</v>
      </c>
      <c r="D606" s="18" t="s">
        <v>72</v>
      </c>
      <c r="E606" s="18" t="s">
        <v>29</v>
      </c>
      <c r="F606" s="20" t="n">
        <v>83700</v>
      </c>
      <c r="G606" s="20" t="n">
        <v>11299.5</v>
      </c>
      <c r="H606" s="18" t="n">
        <v>6</v>
      </c>
    </row>
    <row r="607" customFormat="false" ht="15" hidden="false" customHeight="true" outlineLevel="0" collapsed="false">
      <c r="A607" s="18" t="s">
        <v>646</v>
      </c>
      <c r="B607" s="19" t="n">
        <v>45442</v>
      </c>
      <c r="C607" s="18" t="s">
        <v>19</v>
      </c>
      <c r="D607" s="18" t="s">
        <v>52</v>
      </c>
      <c r="E607" s="18" t="s">
        <v>32</v>
      </c>
      <c r="F607" s="20" t="n">
        <v>26199</v>
      </c>
      <c r="G607" s="20" t="n">
        <v>4401.43</v>
      </c>
      <c r="H607" s="18" t="n">
        <v>9</v>
      </c>
    </row>
    <row r="608" customFormat="false" ht="15" hidden="false" customHeight="true" outlineLevel="0" collapsed="false">
      <c r="A608" s="18" t="s">
        <v>647</v>
      </c>
      <c r="B608" s="19" t="n">
        <v>45509</v>
      </c>
      <c r="C608" s="18" t="s">
        <v>41</v>
      </c>
      <c r="D608" s="18" t="s">
        <v>49</v>
      </c>
      <c r="E608" s="18" t="s">
        <v>50</v>
      </c>
      <c r="F608" s="20" t="n">
        <v>430</v>
      </c>
      <c r="G608" s="20" t="n">
        <v>132.87</v>
      </c>
      <c r="H608" s="18" t="n">
        <v>10</v>
      </c>
    </row>
    <row r="609" customFormat="false" ht="15" hidden="false" customHeight="true" outlineLevel="0" collapsed="false">
      <c r="A609" s="18" t="s">
        <v>648</v>
      </c>
      <c r="B609" s="19" t="n">
        <v>45440</v>
      </c>
      <c r="C609" s="18" t="s">
        <v>39</v>
      </c>
      <c r="D609" s="18" t="s">
        <v>91</v>
      </c>
      <c r="E609" s="18" t="s">
        <v>25</v>
      </c>
      <c r="F609" s="20" t="n">
        <v>25060</v>
      </c>
      <c r="G609" s="20" t="n">
        <v>6640.9</v>
      </c>
      <c r="H609" s="18" t="n">
        <v>10</v>
      </c>
    </row>
    <row r="610" customFormat="false" ht="15" hidden="false" customHeight="true" outlineLevel="0" collapsed="false">
      <c r="A610" s="18" t="s">
        <v>649</v>
      </c>
      <c r="B610" s="19" t="n">
        <v>45644</v>
      </c>
      <c r="C610" s="18" t="s">
        <v>41</v>
      </c>
      <c r="D610" s="18" t="s">
        <v>44</v>
      </c>
      <c r="E610" s="18" t="s">
        <v>32</v>
      </c>
      <c r="F610" s="20" t="n">
        <v>34432</v>
      </c>
      <c r="G610" s="20" t="n">
        <v>4407.3</v>
      </c>
      <c r="H610" s="18" t="n">
        <v>8</v>
      </c>
    </row>
    <row r="611" customFormat="false" ht="15" hidden="false" customHeight="true" outlineLevel="0" collapsed="false">
      <c r="A611" s="18" t="s">
        <v>650</v>
      </c>
      <c r="B611" s="19" t="n">
        <v>45568</v>
      </c>
      <c r="C611" s="18" t="s">
        <v>19</v>
      </c>
      <c r="D611" s="18" t="s">
        <v>24</v>
      </c>
      <c r="E611" s="18" t="s">
        <v>25</v>
      </c>
      <c r="F611" s="20" t="n">
        <v>2475</v>
      </c>
      <c r="G611" s="20" t="n">
        <v>697.95</v>
      </c>
      <c r="H611" s="18" t="n">
        <v>3</v>
      </c>
    </row>
    <row r="612" customFormat="false" ht="15" hidden="false" customHeight="true" outlineLevel="0" collapsed="false">
      <c r="A612" s="18" t="s">
        <v>651</v>
      </c>
      <c r="B612" s="19" t="n">
        <v>45589</v>
      </c>
      <c r="C612" s="18" t="s">
        <v>23</v>
      </c>
      <c r="D612" s="18" t="s">
        <v>42</v>
      </c>
      <c r="E612" s="18" t="s">
        <v>21</v>
      </c>
      <c r="F612" s="20" t="n">
        <v>81032</v>
      </c>
      <c r="G612" s="20" t="n">
        <v>13856.47</v>
      </c>
      <c r="H612" s="18" t="n">
        <v>8</v>
      </c>
    </row>
    <row r="613" customFormat="false" ht="15" hidden="false" customHeight="true" outlineLevel="0" collapsed="false">
      <c r="A613" s="18" t="s">
        <v>652</v>
      </c>
      <c r="B613" s="19" t="n">
        <v>45582</v>
      </c>
      <c r="C613" s="18" t="s">
        <v>19</v>
      </c>
      <c r="D613" s="18" t="s">
        <v>20</v>
      </c>
      <c r="E613" s="18" t="s">
        <v>21</v>
      </c>
      <c r="F613" s="20" t="n">
        <v>75856</v>
      </c>
      <c r="G613" s="20" t="n">
        <v>17826.16</v>
      </c>
      <c r="H613" s="18" t="n">
        <v>8</v>
      </c>
    </row>
    <row r="614" customFormat="false" ht="15" hidden="false" customHeight="true" outlineLevel="0" collapsed="false">
      <c r="A614" s="18" t="s">
        <v>653</v>
      </c>
      <c r="B614" s="19" t="n">
        <v>45428</v>
      </c>
      <c r="C614" s="18" t="s">
        <v>39</v>
      </c>
      <c r="D614" s="18" t="s">
        <v>55</v>
      </c>
      <c r="E614" s="18" t="s">
        <v>32</v>
      </c>
      <c r="F614" s="20" t="n">
        <v>22873</v>
      </c>
      <c r="G614" s="20" t="n">
        <v>3636.81</v>
      </c>
      <c r="H614" s="18" t="n">
        <v>1</v>
      </c>
    </row>
    <row r="615" customFormat="false" ht="15" hidden="false" customHeight="true" outlineLevel="0" collapsed="false">
      <c r="A615" s="18" t="s">
        <v>654</v>
      </c>
      <c r="B615" s="19" t="n">
        <v>45648</v>
      </c>
      <c r="C615" s="18" t="s">
        <v>23</v>
      </c>
      <c r="D615" s="18" t="s">
        <v>62</v>
      </c>
      <c r="E615" s="18" t="s">
        <v>50</v>
      </c>
      <c r="F615" s="20" t="n">
        <v>182</v>
      </c>
      <c r="G615" s="20" t="n">
        <v>45.5</v>
      </c>
      <c r="H615" s="18" t="n">
        <v>1</v>
      </c>
    </row>
    <row r="616" customFormat="false" ht="15" hidden="false" customHeight="true" outlineLevel="0" collapsed="false">
      <c r="A616" s="18" t="s">
        <v>655</v>
      </c>
      <c r="B616" s="19" t="n">
        <v>45579</v>
      </c>
      <c r="C616" s="18" t="s">
        <v>19</v>
      </c>
      <c r="D616" s="18" t="s">
        <v>34</v>
      </c>
      <c r="E616" s="18" t="s">
        <v>25</v>
      </c>
      <c r="F616" s="20" t="n">
        <v>2282</v>
      </c>
      <c r="G616" s="20" t="n">
        <v>504.32</v>
      </c>
      <c r="H616" s="18" t="n">
        <v>2</v>
      </c>
    </row>
    <row r="617" customFormat="false" ht="15" hidden="false" customHeight="true" outlineLevel="0" collapsed="false">
      <c r="A617" s="18" t="s">
        <v>656</v>
      </c>
      <c r="B617" s="19" t="n">
        <v>45506</v>
      </c>
      <c r="C617" s="18" t="s">
        <v>41</v>
      </c>
      <c r="D617" s="18" t="s">
        <v>49</v>
      </c>
      <c r="E617" s="18" t="s">
        <v>50</v>
      </c>
      <c r="F617" s="20" t="n">
        <v>114</v>
      </c>
      <c r="G617" s="20" t="n">
        <v>35.68</v>
      </c>
      <c r="H617" s="18" t="n">
        <v>3</v>
      </c>
    </row>
    <row r="618" customFormat="false" ht="15" hidden="false" customHeight="true" outlineLevel="0" collapsed="false">
      <c r="A618" s="18" t="s">
        <v>657</v>
      </c>
      <c r="B618" s="19" t="n">
        <v>45396</v>
      </c>
      <c r="C618" s="18" t="s">
        <v>19</v>
      </c>
      <c r="D618" s="18" t="s">
        <v>70</v>
      </c>
      <c r="E618" s="18" t="s">
        <v>21</v>
      </c>
      <c r="F618" s="20" t="n">
        <v>80486</v>
      </c>
      <c r="G618" s="20" t="n">
        <v>15533.8</v>
      </c>
      <c r="H618" s="18" t="n">
        <v>7</v>
      </c>
    </row>
    <row r="619" customFormat="false" ht="15" hidden="false" customHeight="true" outlineLevel="0" collapsed="false">
      <c r="A619" s="18" t="s">
        <v>658</v>
      </c>
      <c r="B619" s="19" t="n">
        <v>45606</v>
      </c>
      <c r="C619" s="18" t="s">
        <v>23</v>
      </c>
      <c r="D619" s="18" t="s">
        <v>64</v>
      </c>
      <c r="E619" s="18" t="s">
        <v>32</v>
      </c>
      <c r="F619" s="20" t="n">
        <v>386874</v>
      </c>
      <c r="G619" s="20" t="n">
        <v>59965.47</v>
      </c>
      <c r="H619" s="18" t="n">
        <v>9</v>
      </c>
    </row>
    <row r="620" customFormat="false" ht="15" hidden="false" customHeight="true" outlineLevel="0" collapsed="false">
      <c r="A620" s="18" t="s">
        <v>659</v>
      </c>
      <c r="B620" s="19" t="n">
        <v>45498</v>
      </c>
      <c r="C620" s="18" t="s">
        <v>41</v>
      </c>
      <c r="D620" s="18" t="s">
        <v>42</v>
      </c>
      <c r="E620" s="18" t="s">
        <v>21</v>
      </c>
      <c r="F620" s="20" t="n">
        <v>63652</v>
      </c>
      <c r="G620" s="20" t="n">
        <v>15785.7</v>
      </c>
      <c r="H620" s="18" t="n">
        <v>4</v>
      </c>
    </row>
    <row r="621" customFormat="false" ht="15" hidden="false" customHeight="true" outlineLevel="0" collapsed="false">
      <c r="A621" s="18" t="s">
        <v>660</v>
      </c>
      <c r="B621" s="19" t="n">
        <v>45314</v>
      </c>
      <c r="C621" s="18" t="s">
        <v>27</v>
      </c>
      <c r="D621" s="18" t="s">
        <v>58</v>
      </c>
      <c r="E621" s="18" t="s">
        <v>50</v>
      </c>
      <c r="F621" s="20" t="n">
        <v>344</v>
      </c>
      <c r="G621" s="20" t="n">
        <v>110.77</v>
      </c>
      <c r="H621" s="18" t="n">
        <v>4</v>
      </c>
    </row>
    <row r="622" customFormat="false" ht="15" hidden="false" customHeight="true" outlineLevel="0" collapsed="false">
      <c r="A622" s="18" t="s">
        <v>661</v>
      </c>
      <c r="B622" s="19" t="n">
        <v>45571</v>
      </c>
      <c r="C622" s="18" t="s">
        <v>23</v>
      </c>
      <c r="D622" s="18" t="s">
        <v>42</v>
      </c>
      <c r="E622" s="18" t="s">
        <v>21</v>
      </c>
      <c r="F622" s="20" t="n">
        <v>60760</v>
      </c>
      <c r="G622" s="20" t="n">
        <v>9417.8</v>
      </c>
      <c r="H622" s="18" t="n">
        <v>8</v>
      </c>
    </row>
    <row r="623" customFormat="false" ht="15" hidden="false" customHeight="true" outlineLevel="0" collapsed="false">
      <c r="A623" s="18" t="s">
        <v>662</v>
      </c>
      <c r="B623" s="19" t="n">
        <v>45641</v>
      </c>
      <c r="C623" s="18" t="s">
        <v>39</v>
      </c>
      <c r="D623" s="18" t="s">
        <v>44</v>
      </c>
      <c r="E623" s="18" t="s">
        <v>32</v>
      </c>
      <c r="F623" s="20" t="n">
        <v>4638</v>
      </c>
      <c r="G623" s="20" t="n">
        <v>653.96</v>
      </c>
      <c r="H623" s="18" t="n">
        <v>3</v>
      </c>
    </row>
    <row r="624" customFormat="false" ht="15" hidden="false" customHeight="true" outlineLevel="0" collapsed="false">
      <c r="A624" s="18" t="s">
        <v>663</v>
      </c>
      <c r="B624" s="19" t="n">
        <v>45566</v>
      </c>
      <c r="C624" s="18" t="s">
        <v>19</v>
      </c>
      <c r="D624" s="18" t="s">
        <v>36</v>
      </c>
      <c r="E624" s="18" t="s">
        <v>25</v>
      </c>
      <c r="F624" s="20" t="n">
        <v>14478</v>
      </c>
      <c r="G624" s="20" t="n">
        <v>3025.9</v>
      </c>
      <c r="H624" s="18" t="n">
        <v>6</v>
      </c>
    </row>
    <row r="625" customFormat="false" ht="15" hidden="false" customHeight="true" outlineLevel="0" collapsed="false">
      <c r="A625" s="18" t="s">
        <v>664</v>
      </c>
      <c r="B625" s="19" t="n">
        <v>45590</v>
      </c>
      <c r="C625" s="18" t="s">
        <v>41</v>
      </c>
      <c r="D625" s="18" t="s">
        <v>52</v>
      </c>
      <c r="E625" s="18" t="s">
        <v>32</v>
      </c>
      <c r="F625" s="20" t="n">
        <v>71860</v>
      </c>
      <c r="G625" s="20" t="n">
        <v>6467.4</v>
      </c>
      <c r="H625" s="18" t="n">
        <v>10</v>
      </c>
    </row>
    <row r="626" customFormat="false" ht="15" hidden="false" customHeight="true" outlineLevel="0" collapsed="false">
      <c r="A626" s="18" t="s">
        <v>665</v>
      </c>
      <c r="B626" s="19" t="n">
        <v>45327</v>
      </c>
      <c r="C626" s="18" t="s">
        <v>23</v>
      </c>
      <c r="D626" s="18" t="s">
        <v>55</v>
      </c>
      <c r="E626" s="18" t="s">
        <v>32</v>
      </c>
      <c r="F626" s="20" t="n">
        <v>153844</v>
      </c>
      <c r="G626" s="20" t="n">
        <v>14153.65</v>
      </c>
      <c r="H626" s="18" t="n">
        <v>4</v>
      </c>
    </row>
    <row r="627" customFormat="false" ht="15" hidden="false" customHeight="true" outlineLevel="0" collapsed="false">
      <c r="A627" s="18" t="s">
        <v>666</v>
      </c>
      <c r="B627" s="19" t="n">
        <v>45596</v>
      </c>
      <c r="C627" s="18" t="s">
        <v>23</v>
      </c>
      <c r="D627" s="18" t="s">
        <v>86</v>
      </c>
      <c r="E627" s="18" t="s">
        <v>21</v>
      </c>
      <c r="F627" s="20" t="n">
        <v>185192</v>
      </c>
      <c r="G627" s="20" t="n">
        <v>33519.75</v>
      </c>
      <c r="H627" s="18" t="n">
        <v>8</v>
      </c>
    </row>
    <row r="628" customFormat="false" ht="15" hidden="false" customHeight="true" outlineLevel="0" collapsed="false">
      <c r="A628" s="18" t="s">
        <v>667</v>
      </c>
      <c r="B628" s="19" t="n">
        <v>45316</v>
      </c>
      <c r="C628" s="18" t="s">
        <v>41</v>
      </c>
      <c r="D628" s="18" t="s">
        <v>93</v>
      </c>
      <c r="E628" s="18" t="s">
        <v>32</v>
      </c>
      <c r="F628" s="20" t="n">
        <v>43431</v>
      </c>
      <c r="G628" s="20" t="n">
        <v>6427.79</v>
      </c>
      <c r="H628" s="18" t="n">
        <v>3</v>
      </c>
    </row>
    <row r="629" customFormat="false" ht="15" hidden="false" customHeight="true" outlineLevel="0" collapsed="false">
      <c r="A629" s="18" t="s">
        <v>668</v>
      </c>
      <c r="B629" s="19" t="n">
        <v>45479</v>
      </c>
      <c r="C629" s="18" t="s">
        <v>27</v>
      </c>
      <c r="D629" s="18" t="s">
        <v>70</v>
      </c>
      <c r="E629" s="18" t="s">
        <v>21</v>
      </c>
      <c r="F629" s="20" t="n">
        <v>90895</v>
      </c>
      <c r="G629" s="20" t="n">
        <v>22269.27</v>
      </c>
      <c r="H629" s="18" t="n">
        <v>5</v>
      </c>
    </row>
    <row r="630" customFormat="false" ht="15" hidden="false" customHeight="true" outlineLevel="0" collapsed="false">
      <c r="A630" s="18" t="s">
        <v>669</v>
      </c>
      <c r="B630" s="19" t="n">
        <v>45442</v>
      </c>
      <c r="C630" s="18" t="s">
        <v>39</v>
      </c>
      <c r="D630" s="18" t="s">
        <v>44</v>
      </c>
      <c r="E630" s="18" t="s">
        <v>32</v>
      </c>
      <c r="F630" s="20" t="n">
        <v>5592</v>
      </c>
      <c r="G630" s="20" t="n">
        <v>665.45</v>
      </c>
      <c r="H630" s="18" t="n">
        <v>1</v>
      </c>
    </row>
    <row r="631" customFormat="false" ht="15" hidden="false" customHeight="true" outlineLevel="0" collapsed="false">
      <c r="A631" s="18" t="s">
        <v>670</v>
      </c>
      <c r="B631" s="19" t="n">
        <v>45433</v>
      </c>
      <c r="C631" s="18" t="s">
        <v>23</v>
      </c>
      <c r="D631" s="18" t="s">
        <v>62</v>
      </c>
      <c r="E631" s="18" t="s">
        <v>50</v>
      </c>
      <c r="F631" s="20" t="n">
        <v>199</v>
      </c>
      <c r="G631" s="20" t="n">
        <v>63.28</v>
      </c>
      <c r="H631" s="18" t="n">
        <v>1</v>
      </c>
    </row>
    <row r="632" customFormat="false" ht="15" hidden="false" customHeight="true" outlineLevel="0" collapsed="false">
      <c r="A632" s="18" t="s">
        <v>671</v>
      </c>
      <c r="B632" s="19" t="n">
        <v>45435</v>
      </c>
      <c r="C632" s="18" t="s">
        <v>39</v>
      </c>
      <c r="D632" s="18" t="s">
        <v>72</v>
      </c>
      <c r="E632" s="18" t="s">
        <v>29</v>
      </c>
      <c r="F632" s="20" t="n">
        <v>37248</v>
      </c>
      <c r="G632" s="20" t="n">
        <v>6443.9</v>
      </c>
      <c r="H632" s="18" t="n">
        <v>4</v>
      </c>
    </row>
    <row r="633" customFormat="false" ht="15" hidden="false" customHeight="true" outlineLevel="0" collapsed="false">
      <c r="A633" s="18" t="s">
        <v>672</v>
      </c>
      <c r="B633" s="19" t="n">
        <v>45495</v>
      </c>
      <c r="C633" s="18" t="s">
        <v>41</v>
      </c>
      <c r="D633" s="18" t="s">
        <v>58</v>
      </c>
      <c r="E633" s="18" t="s">
        <v>50</v>
      </c>
      <c r="F633" s="20" t="n">
        <v>616</v>
      </c>
      <c r="G633" s="20" t="n">
        <v>192.81</v>
      </c>
      <c r="H633" s="18" t="n">
        <v>7</v>
      </c>
    </row>
    <row r="634" customFormat="false" ht="15" hidden="false" customHeight="true" outlineLevel="0" collapsed="false">
      <c r="A634" s="18" t="s">
        <v>673</v>
      </c>
      <c r="B634" s="19" t="n">
        <v>45572</v>
      </c>
      <c r="C634" s="18" t="s">
        <v>27</v>
      </c>
      <c r="D634" s="18" t="s">
        <v>20</v>
      </c>
      <c r="E634" s="18" t="s">
        <v>21</v>
      </c>
      <c r="F634" s="20" t="n">
        <v>67328</v>
      </c>
      <c r="G634" s="20" t="n">
        <v>10099.2</v>
      </c>
      <c r="H634" s="18" t="n">
        <v>8</v>
      </c>
    </row>
    <row r="635" customFormat="false" ht="15" hidden="false" customHeight="true" outlineLevel="0" collapsed="false">
      <c r="A635" s="18" t="s">
        <v>674</v>
      </c>
      <c r="B635" s="19" t="n">
        <v>45535</v>
      </c>
      <c r="C635" s="18" t="s">
        <v>41</v>
      </c>
      <c r="D635" s="18" t="s">
        <v>75</v>
      </c>
      <c r="E635" s="18" t="s">
        <v>29</v>
      </c>
      <c r="F635" s="20" t="n">
        <v>1501</v>
      </c>
      <c r="G635" s="20" t="n">
        <v>162.11</v>
      </c>
      <c r="H635" s="18" t="n">
        <v>1</v>
      </c>
    </row>
    <row r="636" customFormat="false" ht="15" hidden="false" customHeight="true" outlineLevel="0" collapsed="false">
      <c r="A636" s="18" t="s">
        <v>675</v>
      </c>
      <c r="B636" s="19" t="n">
        <v>45302</v>
      </c>
      <c r="C636" s="18" t="s">
        <v>23</v>
      </c>
      <c r="D636" s="18" t="s">
        <v>93</v>
      </c>
      <c r="E636" s="18" t="s">
        <v>32</v>
      </c>
      <c r="F636" s="20" t="n">
        <v>14272</v>
      </c>
      <c r="G636" s="20" t="n">
        <v>1812.54</v>
      </c>
      <c r="H636" s="18" t="n">
        <v>4</v>
      </c>
    </row>
    <row r="637" customFormat="false" ht="15" hidden="false" customHeight="true" outlineLevel="0" collapsed="false">
      <c r="A637" s="18" t="s">
        <v>676</v>
      </c>
      <c r="B637" s="19" t="n">
        <v>45305</v>
      </c>
      <c r="C637" s="18" t="s">
        <v>27</v>
      </c>
      <c r="D637" s="18" t="s">
        <v>64</v>
      </c>
      <c r="E637" s="18" t="s">
        <v>32</v>
      </c>
      <c r="F637" s="20" t="n">
        <v>300293</v>
      </c>
      <c r="G637" s="20" t="n">
        <v>35134.28</v>
      </c>
      <c r="H637" s="18" t="n">
        <v>7</v>
      </c>
    </row>
    <row r="638" customFormat="false" ht="15" hidden="false" customHeight="true" outlineLevel="0" collapsed="false">
      <c r="A638" s="18" t="s">
        <v>677</v>
      </c>
      <c r="B638" s="19" t="n">
        <v>45311</v>
      </c>
      <c r="C638" s="18" t="s">
        <v>27</v>
      </c>
      <c r="D638" s="18" t="s">
        <v>70</v>
      </c>
      <c r="E638" s="18" t="s">
        <v>21</v>
      </c>
      <c r="F638" s="20" t="n">
        <v>46460</v>
      </c>
      <c r="G638" s="20" t="n">
        <v>10081.82</v>
      </c>
      <c r="H638" s="18" t="n">
        <v>4</v>
      </c>
    </row>
    <row r="639" customFormat="false" ht="15" hidden="false" customHeight="true" outlineLevel="0" collapsed="false">
      <c r="A639" s="18" t="s">
        <v>678</v>
      </c>
      <c r="B639" s="19" t="n">
        <v>45608</v>
      </c>
      <c r="C639" s="18" t="s">
        <v>41</v>
      </c>
      <c r="D639" s="18" t="s">
        <v>42</v>
      </c>
      <c r="E639" s="18" t="s">
        <v>21</v>
      </c>
      <c r="F639" s="20" t="n">
        <v>38635</v>
      </c>
      <c r="G639" s="20" t="n">
        <v>8383.8</v>
      </c>
      <c r="H639" s="18" t="n">
        <v>5</v>
      </c>
    </row>
    <row r="640" customFormat="false" ht="15" hidden="false" customHeight="true" outlineLevel="0" collapsed="false">
      <c r="A640" s="18" t="s">
        <v>679</v>
      </c>
      <c r="B640" s="19" t="n">
        <v>45502</v>
      </c>
      <c r="C640" s="18" t="s">
        <v>39</v>
      </c>
      <c r="D640" s="18" t="s">
        <v>83</v>
      </c>
      <c r="E640" s="18" t="s">
        <v>21</v>
      </c>
      <c r="F640" s="20" t="n">
        <v>12813</v>
      </c>
      <c r="G640" s="20" t="n">
        <v>2178.21</v>
      </c>
      <c r="H640" s="18" t="n">
        <v>3</v>
      </c>
    </row>
    <row r="641" customFormat="false" ht="15" hidden="false" customHeight="true" outlineLevel="0" collapsed="false">
      <c r="A641" s="18" t="s">
        <v>680</v>
      </c>
      <c r="B641" s="19" t="n">
        <v>45365</v>
      </c>
      <c r="C641" s="18" t="s">
        <v>39</v>
      </c>
      <c r="D641" s="18" t="s">
        <v>62</v>
      </c>
      <c r="E641" s="18" t="s">
        <v>50</v>
      </c>
      <c r="F641" s="20" t="n">
        <v>785</v>
      </c>
      <c r="G641" s="20" t="n">
        <v>197.03</v>
      </c>
      <c r="H641" s="18" t="n">
        <v>5</v>
      </c>
    </row>
    <row r="642" customFormat="false" ht="15" hidden="false" customHeight="true" outlineLevel="0" collapsed="false">
      <c r="A642" s="18" t="s">
        <v>681</v>
      </c>
      <c r="B642" s="19" t="n">
        <v>45560</v>
      </c>
      <c r="C642" s="18" t="s">
        <v>23</v>
      </c>
      <c r="D642" s="18" t="s">
        <v>31</v>
      </c>
      <c r="E642" s="18" t="s">
        <v>32</v>
      </c>
      <c r="F642" s="20" t="n">
        <v>142896</v>
      </c>
      <c r="G642" s="20" t="n">
        <v>24006.53</v>
      </c>
      <c r="H642" s="18" t="n">
        <v>3</v>
      </c>
    </row>
    <row r="643" customFormat="false" ht="15" hidden="false" customHeight="true" outlineLevel="0" collapsed="false">
      <c r="A643" s="18" t="s">
        <v>682</v>
      </c>
      <c r="B643" s="19" t="n">
        <v>45496</v>
      </c>
      <c r="C643" s="18" t="s">
        <v>19</v>
      </c>
      <c r="D643" s="18" t="s">
        <v>55</v>
      </c>
      <c r="E643" s="18" t="s">
        <v>32</v>
      </c>
      <c r="F643" s="20" t="n">
        <v>213273</v>
      </c>
      <c r="G643" s="20" t="n">
        <v>27298.94</v>
      </c>
      <c r="H643" s="18" t="n">
        <v>9</v>
      </c>
    </row>
    <row r="644" customFormat="false" ht="15" hidden="false" customHeight="true" outlineLevel="0" collapsed="false">
      <c r="A644" s="18" t="s">
        <v>683</v>
      </c>
      <c r="B644" s="19" t="n">
        <v>45480</v>
      </c>
      <c r="C644" s="18" t="s">
        <v>27</v>
      </c>
      <c r="D644" s="18" t="s">
        <v>96</v>
      </c>
      <c r="E644" s="18" t="s">
        <v>50</v>
      </c>
      <c r="F644" s="20" t="n">
        <v>594</v>
      </c>
      <c r="G644" s="20" t="n">
        <v>118.8</v>
      </c>
      <c r="H644" s="18" t="n">
        <v>6</v>
      </c>
    </row>
    <row r="645" customFormat="false" ht="15" hidden="false" customHeight="true" outlineLevel="0" collapsed="false">
      <c r="A645" s="18" t="s">
        <v>684</v>
      </c>
      <c r="B645" s="19" t="n">
        <v>45538</v>
      </c>
      <c r="C645" s="18" t="s">
        <v>23</v>
      </c>
      <c r="D645" s="18" t="s">
        <v>31</v>
      </c>
      <c r="E645" s="18" t="s">
        <v>32</v>
      </c>
      <c r="F645" s="20" t="n">
        <v>396963</v>
      </c>
      <c r="G645" s="20" t="n">
        <v>49223.41</v>
      </c>
      <c r="H645" s="18" t="n">
        <v>9</v>
      </c>
    </row>
    <row r="646" customFormat="false" ht="15" hidden="false" customHeight="true" outlineLevel="0" collapsed="false">
      <c r="A646" s="18" t="s">
        <v>685</v>
      </c>
      <c r="B646" s="19" t="n">
        <v>45487</v>
      </c>
      <c r="C646" s="18" t="s">
        <v>23</v>
      </c>
      <c r="D646" s="18" t="s">
        <v>86</v>
      </c>
      <c r="E646" s="18" t="s">
        <v>21</v>
      </c>
      <c r="F646" s="20" t="n">
        <v>129801</v>
      </c>
      <c r="G646" s="20" t="n">
        <v>30243.63</v>
      </c>
      <c r="H646" s="18" t="n">
        <v>7</v>
      </c>
    </row>
    <row r="647" customFormat="false" ht="15" hidden="false" customHeight="true" outlineLevel="0" collapsed="false">
      <c r="A647" s="18" t="s">
        <v>686</v>
      </c>
      <c r="B647" s="19" t="n">
        <v>45637</v>
      </c>
      <c r="C647" s="18" t="s">
        <v>23</v>
      </c>
      <c r="D647" s="18" t="s">
        <v>42</v>
      </c>
      <c r="E647" s="18" t="s">
        <v>21</v>
      </c>
      <c r="F647" s="20" t="n">
        <v>93339</v>
      </c>
      <c r="G647" s="20" t="n">
        <v>14094.19</v>
      </c>
      <c r="H647" s="18" t="n">
        <v>9</v>
      </c>
    </row>
    <row r="648" customFormat="false" ht="15" hidden="false" customHeight="true" outlineLevel="0" collapsed="false">
      <c r="A648" s="18" t="s">
        <v>687</v>
      </c>
      <c r="B648" s="19" t="n">
        <v>45374</v>
      </c>
      <c r="C648" s="18" t="s">
        <v>27</v>
      </c>
      <c r="D648" s="18" t="s">
        <v>31</v>
      </c>
      <c r="E648" s="18" t="s">
        <v>32</v>
      </c>
      <c r="F648" s="20" t="n">
        <v>151308</v>
      </c>
      <c r="G648" s="20" t="n">
        <v>14071.64</v>
      </c>
      <c r="H648" s="18" t="n">
        <v>4</v>
      </c>
    </row>
    <row r="649" customFormat="false" ht="15" hidden="false" customHeight="true" outlineLevel="0" collapsed="false">
      <c r="A649" s="18" t="s">
        <v>688</v>
      </c>
      <c r="B649" s="19" t="n">
        <v>45450</v>
      </c>
      <c r="C649" s="18" t="s">
        <v>19</v>
      </c>
      <c r="D649" s="18" t="s">
        <v>58</v>
      </c>
      <c r="E649" s="18" t="s">
        <v>50</v>
      </c>
      <c r="F649" s="20" t="n">
        <v>53</v>
      </c>
      <c r="G649" s="20" t="n">
        <v>19.82</v>
      </c>
      <c r="H649" s="18" t="n">
        <v>1</v>
      </c>
    </row>
    <row r="650" customFormat="false" ht="15" hidden="false" customHeight="true" outlineLevel="0" collapsed="false">
      <c r="A650" s="18" t="s">
        <v>689</v>
      </c>
      <c r="B650" s="19" t="n">
        <v>45582</v>
      </c>
      <c r="C650" s="18" t="s">
        <v>41</v>
      </c>
      <c r="D650" s="18" t="s">
        <v>44</v>
      </c>
      <c r="E650" s="18" t="s">
        <v>32</v>
      </c>
      <c r="F650" s="20" t="n">
        <v>35060</v>
      </c>
      <c r="G650" s="20" t="n">
        <v>6030.32</v>
      </c>
      <c r="H650" s="18" t="n">
        <v>10</v>
      </c>
    </row>
    <row r="651" customFormat="false" ht="15" hidden="false" customHeight="true" outlineLevel="0" collapsed="false">
      <c r="A651" s="18" t="s">
        <v>690</v>
      </c>
      <c r="B651" s="19" t="n">
        <v>45630</v>
      </c>
      <c r="C651" s="18" t="s">
        <v>23</v>
      </c>
      <c r="D651" s="18" t="s">
        <v>42</v>
      </c>
      <c r="E651" s="18" t="s">
        <v>21</v>
      </c>
      <c r="F651" s="20" t="n">
        <v>62461</v>
      </c>
      <c r="G651" s="20" t="n">
        <v>9743.92</v>
      </c>
      <c r="H651" s="18" t="n">
        <v>7</v>
      </c>
    </row>
    <row r="652" customFormat="false" ht="15" hidden="false" customHeight="true" outlineLevel="0" collapsed="false">
      <c r="A652" s="18" t="s">
        <v>691</v>
      </c>
      <c r="B652" s="19" t="n">
        <v>45634</v>
      </c>
      <c r="C652" s="18" t="s">
        <v>19</v>
      </c>
      <c r="D652" s="18" t="s">
        <v>28</v>
      </c>
      <c r="E652" s="18" t="s">
        <v>29</v>
      </c>
      <c r="F652" s="20" t="n">
        <v>25020</v>
      </c>
      <c r="G652" s="20" t="n">
        <v>3577.86</v>
      </c>
      <c r="H652" s="18" t="n">
        <v>9</v>
      </c>
    </row>
    <row r="653" customFormat="false" ht="15" hidden="false" customHeight="true" outlineLevel="0" collapsed="false">
      <c r="A653" s="18" t="s">
        <v>692</v>
      </c>
      <c r="B653" s="19" t="n">
        <v>45641</v>
      </c>
      <c r="C653" s="18" t="s">
        <v>39</v>
      </c>
      <c r="D653" s="18" t="s">
        <v>96</v>
      </c>
      <c r="E653" s="18" t="s">
        <v>50</v>
      </c>
      <c r="F653" s="20" t="n">
        <v>220</v>
      </c>
      <c r="G653" s="20" t="n">
        <v>76.34</v>
      </c>
      <c r="H653" s="18" t="n">
        <v>4</v>
      </c>
    </row>
    <row r="654" customFormat="false" ht="15" hidden="false" customHeight="true" outlineLevel="0" collapsed="false">
      <c r="A654" s="18" t="s">
        <v>693</v>
      </c>
      <c r="B654" s="19" t="n">
        <v>45507</v>
      </c>
      <c r="C654" s="18" t="s">
        <v>23</v>
      </c>
      <c r="D654" s="18" t="s">
        <v>52</v>
      </c>
      <c r="E654" s="18" t="s">
        <v>32</v>
      </c>
      <c r="F654" s="20" t="n">
        <v>9402</v>
      </c>
      <c r="G654" s="20" t="n">
        <v>1175.25</v>
      </c>
      <c r="H654" s="18" t="n">
        <v>2</v>
      </c>
    </row>
    <row r="655" customFormat="false" ht="15" hidden="false" customHeight="true" outlineLevel="0" collapsed="false">
      <c r="A655" s="18" t="s">
        <v>694</v>
      </c>
      <c r="B655" s="19" t="n">
        <v>45537</v>
      </c>
      <c r="C655" s="18" t="s">
        <v>39</v>
      </c>
      <c r="D655" s="18" t="s">
        <v>20</v>
      </c>
      <c r="E655" s="18" t="s">
        <v>21</v>
      </c>
      <c r="F655" s="20" t="n">
        <v>66978</v>
      </c>
      <c r="G655" s="20" t="n">
        <v>16141.7</v>
      </c>
      <c r="H655" s="18" t="n">
        <v>9</v>
      </c>
    </row>
    <row r="656" customFormat="false" ht="15" hidden="false" customHeight="true" outlineLevel="0" collapsed="false">
      <c r="A656" s="18" t="s">
        <v>695</v>
      </c>
      <c r="B656" s="19" t="n">
        <v>45343</v>
      </c>
      <c r="C656" s="18" t="s">
        <v>23</v>
      </c>
      <c r="D656" s="18" t="s">
        <v>83</v>
      </c>
      <c r="E656" s="18" t="s">
        <v>21</v>
      </c>
      <c r="F656" s="20" t="n">
        <v>47470</v>
      </c>
      <c r="G656" s="20" t="n">
        <v>8259.78</v>
      </c>
      <c r="H656" s="18" t="n">
        <v>10</v>
      </c>
    </row>
    <row r="657" customFormat="false" ht="15" hidden="false" customHeight="true" outlineLevel="0" collapsed="false">
      <c r="A657" s="18" t="s">
        <v>696</v>
      </c>
      <c r="B657" s="19" t="n">
        <v>45495</v>
      </c>
      <c r="C657" s="18" t="s">
        <v>19</v>
      </c>
      <c r="D657" s="18" t="s">
        <v>28</v>
      </c>
      <c r="E657" s="18" t="s">
        <v>29</v>
      </c>
      <c r="F657" s="20" t="n">
        <v>3956</v>
      </c>
      <c r="G657" s="20" t="n">
        <v>731.86</v>
      </c>
      <c r="H657" s="18" t="n">
        <v>1</v>
      </c>
    </row>
    <row r="658" customFormat="false" ht="15" hidden="false" customHeight="true" outlineLevel="0" collapsed="false">
      <c r="A658" s="18" t="s">
        <v>697</v>
      </c>
      <c r="B658" s="19" t="n">
        <v>45459</v>
      </c>
      <c r="C658" s="18" t="s">
        <v>41</v>
      </c>
      <c r="D658" s="18" t="s">
        <v>31</v>
      </c>
      <c r="E658" s="18" t="s">
        <v>32</v>
      </c>
      <c r="F658" s="20" t="n">
        <v>671648</v>
      </c>
      <c r="G658" s="20" t="n">
        <v>82612.7</v>
      </c>
      <c r="H658" s="18" t="n">
        <v>8</v>
      </c>
    </row>
    <row r="659" customFormat="false" ht="15" hidden="false" customHeight="true" outlineLevel="0" collapsed="false">
      <c r="A659" s="18" t="s">
        <v>698</v>
      </c>
      <c r="B659" s="19" t="n">
        <v>45636</v>
      </c>
      <c r="C659" s="18" t="s">
        <v>23</v>
      </c>
      <c r="D659" s="18" t="s">
        <v>52</v>
      </c>
      <c r="E659" s="18" t="s">
        <v>32</v>
      </c>
      <c r="F659" s="20" t="n">
        <v>36368</v>
      </c>
      <c r="G659" s="20" t="n">
        <v>5309.73</v>
      </c>
      <c r="H659" s="18" t="n">
        <v>8</v>
      </c>
    </row>
    <row r="660" customFormat="false" ht="15" hidden="false" customHeight="true" outlineLevel="0" collapsed="false">
      <c r="A660" s="18" t="s">
        <v>699</v>
      </c>
      <c r="B660" s="19" t="n">
        <v>45546</v>
      </c>
      <c r="C660" s="18" t="s">
        <v>27</v>
      </c>
      <c r="D660" s="18" t="s">
        <v>52</v>
      </c>
      <c r="E660" s="18" t="s">
        <v>32</v>
      </c>
      <c r="F660" s="20" t="n">
        <v>56312</v>
      </c>
      <c r="G660" s="20" t="n">
        <v>9235.17</v>
      </c>
      <c r="H660" s="18" t="n">
        <v>8</v>
      </c>
    </row>
    <row r="661" customFormat="false" ht="15" hidden="false" customHeight="true" outlineLevel="0" collapsed="false">
      <c r="A661" s="18" t="s">
        <v>700</v>
      </c>
      <c r="B661" s="19" t="n">
        <v>45492</v>
      </c>
      <c r="C661" s="18" t="s">
        <v>23</v>
      </c>
      <c r="D661" s="18" t="s">
        <v>75</v>
      </c>
      <c r="E661" s="18" t="s">
        <v>29</v>
      </c>
      <c r="F661" s="20" t="n">
        <v>4140</v>
      </c>
      <c r="G661" s="20" t="n">
        <v>703.8</v>
      </c>
      <c r="H661" s="18" t="n">
        <v>2</v>
      </c>
    </row>
    <row r="662" customFormat="false" ht="15" hidden="false" customHeight="true" outlineLevel="0" collapsed="false">
      <c r="A662" s="18" t="s">
        <v>701</v>
      </c>
      <c r="B662" s="19" t="n">
        <v>45313</v>
      </c>
      <c r="C662" s="18" t="s">
        <v>41</v>
      </c>
      <c r="D662" s="18" t="s">
        <v>46</v>
      </c>
      <c r="E662" s="18" t="s">
        <v>29</v>
      </c>
      <c r="F662" s="20" t="n">
        <v>99560</v>
      </c>
      <c r="G662" s="20" t="n">
        <v>15332.24</v>
      </c>
      <c r="H662" s="18" t="n">
        <v>10</v>
      </c>
    </row>
    <row r="663" customFormat="false" ht="15" hidden="false" customHeight="true" outlineLevel="0" collapsed="false">
      <c r="A663" s="18" t="s">
        <v>702</v>
      </c>
      <c r="B663" s="19" t="n">
        <v>45296</v>
      </c>
      <c r="C663" s="18" t="s">
        <v>27</v>
      </c>
      <c r="D663" s="18" t="s">
        <v>86</v>
      </c>
      <c r="E663" s="18" t="s">
        <v>21</v>
      </c>
      <c r="F663" s="20" t="n">
        <v>228177</v>
      </c>
      <c r="G663" s="20" t="n">
        <v>29663.01</v>
      </c>
      <c r="H663" s="18" t="n">
        <v>9</v>
      </c>
    </row>
    <row r="664" customFormat="false" ht="15" hidden="false" customHeight="true" outlineLevel="0" collapsed="false">
      <c r="A664" s="18" t="s">
        <v>703</v>
      </c>
      <c r="B664" s="19" t="n">
        <v>45434</v>
      </c>
      <c r="C664" s="18" t="s">
        <v>23</v>
      </c>
      <c r="D664" s="18" t="s">
        <v>86</v>
      </c>
      <c r="E664" s="18" t="s">
        <v>21</v>
      </c>
      <c r="F664" s="20" t="n">
        <v>138016</v>
      </c>
      <c r="G664" s="20" t="n">
        <v>30363.52</v>
      </c>
      <c r="H664" s="18" t="n">
        <v>4</v>
      </c>
    </row>
    <row r="665" customFormat="false" ht="15" hidden="false" customHeight="true" outlineLevel="0" collapsed="false">
      <c r="A665" s="18" t="s">
        <v>704</v>
      </c>
      <c r="B665" s="19" t="n">
        <v>45328</v>
      </c>
      <c r="C665" s="18" t="s">
        <v>27</v>
      </c>
      <c r="D665" s="18" t="s">
        <v>20</v>
      </c>
      <c r="E665" s="18" t="s">
        <v>21</v>
      </c>
      <c r="F665" s="20" t="n">
        <v>44667</v>
      </c>
      <c r="G665" s="20" t="n">
        <v>10407.41</v>
      </c>
      <c r="H665" s="18" t="n">
        <v>9</v>
      </c>
    </row>
    <row r="666" customFormat="false" ht="15" hidden="false" customHeight="true" outlineLevel="0" collapsed="false">
      <c r="A666" s="18" t="s">
        <v>705</v>
      </c>
      <c r="B666" s="19" t="n">
        <v>45485</v>
      </c>
      <c r="C666" s="18" t="s">
        <v>41</v>
      </c>
      <c r="D666" s="18" t="s">
        <v>72</v>
      </c>
      <c r="E666" s="18" t="s">
        <v>29</v>
      </c>
      <c r="F666" s="20" t="n">
        <v>54625</v>
      </c>
      <c r="G666" s="20" t="n">
        <v>8630.75</v>
      </c>
      <c r="H666" s="18" t="n">
        <v>5</v>
      </c>
    </row>
    <row r="667" customFormat="false" ht="15" hidden="false" customHeight="true" outlineLevel="0" collapsed="false">
      <c r="A667" s="18" t="s">
        <v>706</v>
      </c>
      <c r="B667" s="19" t="n">
        <v>45326</v>
      </c>
      <c r="C667" s="18" t="s">
        <v>41</v>
      </c>
      <c r="D667" s="18" t="s">
        <v>55</v>
      </c>
      <c r="E667" s="18" t="s">
        <v>32</v>
      </c>
      <c r="F667" s="20" t="n">
        <v>80606</v>
      </c>
      <c r="G667" s="20" t="n">
        <v>7254.54</v>
      </c>
      <c r="H667" s="18" t="n">
        <v>2</v>
      </c>
    </row>
    <row r="668" customFormat="false" ht="15" hidden="false" customHeight="true" outlineLevel="0" collapsed="false">
      <c r="A668" s="18" t="s">
        <v>707</v>
      </c>
      <c r="B668" s="19" t="n">
        <v>45643</v>
      </c>
      <c r="C668" s="18" t="s">
        <v>23</v>
      </c>
      <c r="D668" s="18" t="s">
        <v>75</v>
      </c>
      <c r="E668" s="18" t="s">
        <v>29</v>
      </c>
      <c r="F668" s="20" t="n">
        <v>18144</v>
      </c>
      <c r="G668" s="20" t="n">
        <v>2739.74</v>
      </c>
      <c r="H668" s="18" t="n">
        <v>8</v>
      </c>
    </row>
    <row r="669" customFormat="false" ht="15" hidden="false" customHeight="true" outlineLevel="0" collapsed="false">
      <c r="A669" s="18" t="s">
        <v>708</v>
      </c>
      <c r="B669" s="19" t="n">
        <v>45533</v>
      </c>
      <c r="C669" s="18" t="s">
        <v>39</v>
      </c>
      <c r="D669" s="18" t="s">
        <v>36</v>
      </c>
      <c r="E669" s="18" t="s">
        <v>25</v>
      </c>
      <c r="F669" s="20" t="n">
        <v>41392</v>
      </c>
      <c r="G669" s="20" t="n">
        <v>11300.02</v>
      </c>
      <c r="H669" s="18" t="n">
        <v>8</v>
      </c>
    </row>
    <row r="670" customFormat="false" ht="15" hidden="false" customHeight="true" outlineLevel="0" collapsed="false">
      <c r="A670" s="18" t="s">
        <v>709</v>
      </c>
      <c r="B670" s="19" t="n">
        <v>45522</v>
      </c>
      <c r="C670" s="18" t="s">
        <v>19</v>
      </c>
      <c r="D670" s="18" t="s">
        <v>55</v>
      </c>
      <c r="E670" s="18" t="s">
        <v>32</v>
      </c>
      <c r="F670" s="20" t="n">
        <v>220347</v>
      </c>
      <c r="G670" s="20" t="n">
        <v>18729.5</v>
      </c>
      <c r="H670" s="18" t="n">
        <v>9</v>
      </c>
    </row>
    <row r="671" customFormat="false" ht="15" hidden="false" customHeight="true" outlineLevel="0" collapsed="false">
      <c r="A671" s="18" t="s">
        <v>710</v>
      </c>
      <c r="B671" s="19" t="n">
        <v>45611</v>
      </c>
      <c r="C671" s="18" t="s">
        <v>23</v>
      </c>
      <c r="D671" s="18" t="s">
        <v>83</v>
      </c>
      <c r="E671" s="18" t="s">
        <v>21</v>
      </c>
      <c r="F671" s="20" t="n">
        <v>24342</v>
      </c>
      <c r="G671" s="20" t="n">
        <v>5842.08</v>
      </c>
      <c r="H671" s="18" t="n">
        <v>3</v>
      </c>
    </row>
    <row r="672" customFormat="false" ht="15" hidden="false" customHeight="true" outlineLevel="0" collapsed="false">
      <c r="A672" s="18" t="s">
        <v>711</v>
      </c>
      <c r="B672" s="19" t="n">
        <v>45632</v>
      </c>
      <c r="C672" s="18" t="s">
        <v>41</v>
      </c>
      <c r="D672" s="18" t="s">
        <v>28</v>
      </c>
      <c r="E672" s="18" t="s">
        <v>29</v>
      </c>
      <c r="F672" s="20" t="n">
        <v>15324</v>
      </c>
      <c r="G672" s="20" t="n">
        <v>2988.18</v>
      </c>
      <c r="H672" s="18" t="n">
        <v>6</v>
      </c>
    </row>
    <row r="673" customFormat="false" ht="15" hidden="false" customHeight="true" outlineLevel="0" collapsed="false">
      <c r="A673" s="18" t="s">
        <v>712</v>
      </c>
      <c r="B673" s="19" t="n">
        <v>45331</v>
      </c>
      <c r="C673" s="18" t="s">
        <v>19</v>
      </c>
      <c r="D673" s="18" t="s">
        <v>83</v>
      </c>
      <c r="E673" s="18" t="s">
        <v>21</v>
      </c>
      <c r="F673" s="20" t="n">
        <v>42492</v>
      </c>
      <c r="G673" s="20" t="n">
        <v>8370.92</v>
      </c>
      <c r="H673" s="18" t="n">
        <v>4</v>
      </c>
    </row>
    <row r="674" customFormat="false" ht="15" hidden="false" customHeight="true" outlineLevel="0" collapsed="false">
      <c r="A674" s="18" t="s">
        <v>713</v>
      </c>
      <c r="B674" s="19" t="n">
        <v>45622</v>
      </c>
      <c r="C674" s="18" t="s">
        <v>27</v>
      </c>
      <c r="D674" s="18" t="s">
        <v>36</v>
      </c>
      <c r="E674" s="18" t="s">
        <v>25</v>
      </c>
      <c r="F674" s="20" t="n">
        <v>30156</v>
      </c>
      <c r="G674" s="20" t="n">
        <v>5156.68</v>
      </c>
      <c r="H674" s="18" t="n">
        <v>6</v>
      </c>
    </row>
    <row r="675" customFormat="false" ht="15" hidden="false" customHeight="true" outlineLevel="0" collapsed="false">
      <c r="A675" s="18" t="s">
        <v>114</v>
      </c>
      <c r="B675" s="19" t="n">
        <v>45396</v>
      </c>
      <c r="C675" s="18" t="s">
        <v>23</v>
      </c>
      <c r="D675" s="18" t="s">
        <v>64</v>
      </c>
      <c r="E675" s="18" t="s">
        <v>32</v>
      </c>
      <c r="F675" s="20" t="n">
        <v>237966</v>
      </c>
      <c r="G675" s="20" t="n">
        <v>21416.94</v>
      </c>
      <c r="H675" s="18" t="n">
        <v>6</v>
      </c>
    </row>
    <row r="676" customFormat="false" ht="15" hidden="false" customHeight="true" outlineLevel="0" collapsed="false">
      <c r="A676" s="18" t="s">
        <v>714</v>
      </c>
      <c r="B676" s="19" t="n">
        <v>45437</v>
      </c>
      <c r="C676" s="18" t="s">
        <v>19</v>
      </c>
      <c r="D676" s="18" t="s">
        <v>72</v>
      </c>
      <c r="E676" s="18" t="s">
        <v>29</v>
      </c>
      <c r="F676" s="20" t="n">
        <v>71390</v>
      </c>
      <c r="G676" s="20" t="n">
        <v>11208.23</v>
      </c>
      <c r="H676" s="18" t="n">
        <v>10</v>
      </c>
    </row>
    <row r="677" customFormat="false" ht="15" hidden="false" customHeight="true" outlineLevel="0" collapsed="false">
      <c r="A677" s="18" t="s">
        <v>715</v>
      </c>
      <c r="B677" s="19" t="n">
        <v>45346</v>
      </c>
      <c r="C677" s="18" t="s">
        <v>41</v>
      </c>
      <c r="D677" s="18" t="s">
        <v>31</v>
      </c>
      <c r="E677" s="18" t="s">
        <v>32</v>
      </c>
      <c r="F677" s="20" t="n">
        <v>320730</v>
      </c>
      <c r="G677" s="20" t="n">
        <v>37204.68</v>
      </c>
      <c r="H677" s="18" t="n">
        <v>5</v>
      </c>
    </row>
    <row r="678" customFormat="false" ht="15" hidden="false" customHeight="true" outlineLevel="0" collapsed="false">
      <c r="A678" s="18" t="s">
        <v>716</v>
      </c>
      <c r="B678" s="19" t="n">
        <v>45312</v>
      </c>
      <c r="C678" s="18" t="s">
        <v>39</v>
      </c>
      <c r="D678" s="18" t="s">
        <v>70</v>
      </c>
      <c r="E678" s="18" t="s">
        <v>21</v>
      </c>
      <c r="F678" s="20" t="n">
        <v>116660</v>
      </c>
      <c r="G678" s="20" t="n">
        <v>25781.86</v>
      </c>
      <c r="H678" s="18" t="n">
        <v>10</v>
      </c>
    </row>
    <row r="679" customFormat="false" ht="15" hidden="false" customHeight="true" outlineLevel="0" collapsed="false">
      <c r="A679" s="18" t="s">
        <v>717</v>
      </c>
      <c r="B679" s="19" t="n">
        <v>45339</v>
      </c>
      <c r="C679" s="18" t="s">
        <v>27</v>
      </c>
      <c r="D679" s="18" t="s">
        <v>34</v>
      </c>
      <c r="E679" s="18" t="s">
        <v>25</v>
      </c>
      <c r="F679" s="20" t="n">
        <v>4212</v>
      </c>
      <c r="G679" s="20" t="n">
        <v>1330.99</v>
      </c>
      <c r="H679" s="18" t="n">
        <v>3</v>
      </c>
    </row>
    <row r="680" customFormat="false" ht="15" hidden="false" customHeight="true" outlineLevel="0" collapsed="false">
      <c r="A680" s="18" t="s">
        <v>718</v>
      </c>
      <c r="B680" s="19" t="n">
        <v>45319</v>
      </c>
      <c r="C680" s="18" t="s">
        <v>23</v>
      </c>
      <c r="D680" s="18" t="s">
        <v>86</v>
      </c>
      <c r="E680" s="18" t="s">
        <v>21</v>
      </c>
      <c r="F680" s="20" t="n">
        <v>170409</v>
      </c>
      <c r="G680" s="20" t="n">
        <v>39705.3</v>
      </c>
      <c r="H680" s="18" t="n">
        <v>3</v>
      </c>
    </row>
    <row r="681" customFormat="false" ht="15" hidden="false" customHeight="true" outlineLevel="0" collapsed="false">
      <c r="A681" s="18" t="s">
        <v>719</v>
      </c>
      <c r="B681" s="19" t="n">
        <v>45593</v>
      </c>
      <c r="C681" s="18" t="s">
        <v>19</v>
      </c>
      <c r="D681" s="18" t="s">
        <v>106</v>
      </c>
      <c r="E681" s="18" t="s">
        <v>25</v>
      </c>
      <c r="F681" s="20" t="n">
        <v>25530</v>
      </c>
      <c r="G681" s="20" t="n">
        <v>4671.99</v>
      </c>
      <c r="H681" s="18" t="n">
        <v>10</v>
      </c>
    </row>
    <row r="682" customFormat="false" ht="15" hidden="false" customHeight="true" outlineLevel="0" collapsed="false">
      <c r="A682" s="18" t="s">
        <v>720</v>
      </c>
      <c r="B682" s="19" t="n">
        <v>45619</v>
      </c>
      <c r="C682" s="18" t="s">
        <v>41</v>
      </c>
      <c r="D682" s="18" t="s">
        <v>31</v>
      </c>
      <c r="E682" s="18" t="s">
        <v>32</v>
      </c>
      <c r="F682" s="20" t="n">
        <v>255245</v>
      </c>
      <c r="G682" s="20" t="n">
        <v>26034.99</v>
      </c>
      <c r="H682" s="18" t="n">
        <v>5</v>
      </c>
    </row>
    <row r="683" customFormat="false" ht="15" hidden="false" customHeight="true" outlineLevel="0" collapsed="false">
      <c r="A683" s="18" t="s">
        <v>721</v>
      </c>
      <c r="B683" s="19" t="n">
        <v>45478</v>
      </c>
      <c r="C683" s="18" t="s">
        <v>39</v>
      </c>
      <c r="D683" s="18" t="s">
        <v>58</v>
      </c>
      <c r="E683" s="18" t="s">
        <v>50</v>
      </c>
      <c r="F683" s="20" t="n">
        <v>336</v>
      </c>
      <c r="G683" s="20" t="n">
        <v>112.22</v>
      </c>
      <c r="H683" s="18" t="n">
        <v>6</v>
      </c>
    </row>
    <row r="684" customFormat="false" ht="15" hidden="false" customHeight="true" outlineLevel="0" collapsed="false">
      <c r="A684" s="18" t="s">
        <v>722</v>
      </c>
      <c r="B684" s="19" t="n">
        <v>45628</v>
      </c>
      <c r="C684" s="18" t="s">
        <v>41</v>
      </c>
      <c r="D684" s="18" t="s">
        <v>36</v>
      </c>
      <c r="E684" s="18" t="s">
        <v>25</v>
      </c>
      <c r="F684" s="20" t="n">
        <v>42230</v>
      </c>
      <c r="G684" s="20" t="n">
        <v>7474.71</v>
      </c>
      <c r="H684" s="18" t="n">
        <v>10</v>
      </c>
    </row>
    <row r="685" customFormat="false" ht="15" hidden="false" customHeight="true" outlineLevel="0" collapsed="false">
      <c r="A685" s="18" t="s">
        <v>723</v>
      </c>
      <c r="B685" s="19" t="n">
        <v>45559</v>
      </c>
      <c r="C685" s="18" t="s">
        <v>39</v>
      </c>
      <c r="D685" s="18" t="s">
        <v>58</v>
      </c>
      <c r="E685" s="18" t="s">
        <v>50</v>
      </c>
      <c r="F685" s="20" t="n">
        <v>469</v>
      </c>
      <c r="G685" s="20" t="n">
        <v>108.81</v>
      </c>
      <c r="H685" s="18" t="n">
        <v>7</v>
      </c>
    </row>
    <row r="686" customFormat="false" ht="15" hidden="false" customHeight="true" outlineLevel="0" collapsed="false">
      <c r="A686" s="18" t="s">
        <v>724</v>
      </c>
      <c r="B686" s="19" t="n">
        <v>45597</v>
      </c>
      <c r="C686" s="18" t="s">
        <v>23</v>
      </c>
      <c r="D686" s="18" t="s">
        <v>55</v>
      </c>
      <c r="E686" s="18" t="s">
        <v>32</v>
      </c>
      <c r="F686" s="20" t="n">
        <v>147144</v>
      </c>
      <c r="G686" s="20" t="n">
        <v>17510.14</v>
      </c>
      <c r="H686" s="18" t="n">
        <v>4</v>
      </c>
    </row>
    <row r="687" customFormat="false" ht="15" hidden="false" customHeight="true" outlineLevel="0" collapsed="false">
      <c r="A687" s="18" t="s">
        <v>725</v>
      </c>
      <c r="B687" s="19" t="n">
        <v>45470</v>
      </c>
      <c r="C687" s="18" t="s">
        <v>41</v>
      </c>
      <c r="D687" s="18" t="s">
        <v>44</v>
      </c>
      <c r="E687" s="18" t="s">
        <v>32</v>
      </c>
      <c r="F687" s="20" t="n">
        <v>37071</v>
      </c>
      <c r="G687" s="20" t="n">
        <v>4930.44</v>
      </c>
      <c r="H687" s="18" t="n">
        <v>9</v>
      </c>
    </row>
    <row r="688" customFormat="false" ht="15" hidden="false" customHeight="true" outlineLevel="0" collapsed="false">
      <c r="A688" s="18" t="s">
        <v>726</v>
      </c>
      <c r="B688" s="19" t="n">
        <v>45416</v>
      </c>
      <c r="C688" s="18" t="s">
        <v>19</v>
      </c>
      <c r="D688" s="18" t="s">
        <v>36</v>
      </c>
      <c r="E688" s="18" t="s">
        <v>25</v>
      </c>
      <c r="F688" s="20" t="n">
        <v>42192</v>
      </c>
      <c r="G688" s="20" t="n">
        <v>13881.17</v>
      </c>
      <c r="H688" s="18" t="n">
        <v>8</v>
      </c>
    </row>
    <row r="689" customFormat="false" ht="15" hidden="false" customHeight="true" outlineLevel="0" collapsed="false">
      <c r="A689" s="18" t="s">
        <v>727</v>
      </c>
      <c r="B689" s="19" t="n">
        <v>45570</v>
      </c>
      <c r="C689" s="18" t="s">
        <v>27</v>
      </c>
      <c r="D689" s="18" t="s">
        <v>83</v>
      </c>
      <c r="E689" s="18" t="s">
        <v>21</v>
      </c>
      <c r="F689" s="20" t="n">
        <v>5631</v>
      </c>
      <c r="G689" s="20" t="n">
        <v>884.07</v>
      </c>
      <c r="H689" s="18" t="n">
        <v>1</v>
      </c>
    </row>
    <row r="690" customFormat="false" ht="15" hidden="false" customHeight="true" outlineLevel="0" collapsed="false">
      <c r="A690" s="18" t="s">
        <v>728</v>
      </c>
      <c r="B690" s="19" t="n">
        <v>45642</v>
      </c>
      <c r="C690" s="18" t="s">
        <v>19</v>
      </c>
      <c r="D690" s="18" t="s">
        <v>83</v>
      </c>
      <c r="E690" s="18" t="s">
        <v>21</v>
      </c>
      <c r="F690" s="20" t="n">
        <v>84296</v>
      </c>
      <c r="G690" s="20" t="n">
        <v>15173.28</v>
      </c>
      <c r="H690" s="18" t="n">
        <v>8</v>
      </c>
    </row>
    <row r="691" customFormat="false" ht="15" hidden="false" customHeight="true" outlineLevel="0" collapsed="false">
      <c r="A691" s="18" t="s">
        <v>729</v>
      </c>
      <c r="B691" s="19" t="n">
        <v>45367</v>
      </c>
      <c r="C691" s="18" t="s">
        <v>41</v>
      </c>
      <c r="D691" s="18" t="s">
        <v>36</v>
      </c>
      <c r="E691" s="18" t="s">
        <v>25</v>
      </c>
      <c r="F691" s="20" t="n">
        <v>9964</v>
      </c>
      <c r="G691" s="20" t="n">
        <v>1933.02</v>
      </c>
      <c r="H691" s="18" t="n">
        <v>2</v>
      </c>
    </row>
    <row r="692" customFormat="false" ht="15" hidden="false" customHeight="true" outlineLevel="0" collapsed="false">
      <c r="A692" s="18" t="s">
        <v>730</v>
      </c>
      <c r="B692" s="19" t="n">
        <v>45512</v>
      </c>
      <c r="C692" s="18" t="s">
        <v>41</v>
      </c>
      <c r="D692" s="18" t="s">
        <v>24</v>
      </c>
      <c r="E692" s="18" t="s">
        <v>25</v>
      </c>
      <c r="F692" s="20" t="n">
        <v>4692</v>
      </c>
      <c r="G692" s="20" t="n">
        <v>1318.45</v>
      </c>
      <c r="H692" s="18" t="n">
        <v>2</v>
      </c>
    </row>
    <row r="693" customFormat="false" ht="15" hidden="false" customHeight="true" outlineLevel="0" collapsed="false">
      <c r="A693" s="18" t="s">
        <v>731</v>
      </c>
      <c r="B693" s="19" t="n">
        <v>45606</v>
      </c>
      <c r="C693" s="18" t="s">
        <v>39</v>
      </c>
      <c r="D693" s="18" t="s">
        <v>36</v>
      </c>
      <c r="E693" s="18" t="s">
        <v>25</v>
      </c>
      <c r="F693" s="20" t="n">
        <v>23841</v>
      </c>
      <c r="G693" s="20" t="n">
        <v>5698</v>
      </c>
      <c r="H693" s="18" t="n">
        <v>9</v>
      </c>
    </row>
    <row r="694" customFormat="false" ht="15" hidden="false" customHeight="true" outlineLevel="0" collapsed="false">
      <c r="A694" s="18" t="s">
        <v>732</v>
      </c>
      <c r="B694" s="19" t="n">
        <v>45455</v>
      </c>
      <c r="C694" s="18" t="s">
        <v>19</v>
      </c>
      <c r="D694" s="18" t="s">
        <v>91</v>
      </c>
      <c r="E694" s="18" t="s">
        <v>25</v>
      </c>
      <c r="F694" s="20" t="n">
        <v>28464</v>
      </c>
      <c r="G694" s="20" t="n">
        <v>8709.98</v>
      </c>
      <c r="H694" s="18" t="n">
        <v>8</v>
      </c>
    </row>
    <row r="695" customFormat="false" ht="15" hidden="false" customHeight="true" outlineLevel="0" collapsed="false">
      <c r="A695" s="18" t="s">
        <v>733</v>
      </c>
      <c r="B695" s="19" t="n">
        <v>45607</v>
      </c>
      <c r="C695" s="18" t="s">
        <v>27</v>
      </c>
      <c r="D695" s="18" t="s">
        <v>42</v>
      </c>
      <c r="E695" s="18" t="s">
        <v>21</v>
      </c>
      <c r="F695" s="20" t="n">
        <v>51984</v>
      </c>
      <c r="G695" s="20" t="n">
        <v>8473.39</v>
      </c>
      <c r="H695" s="18" t="n">
        <v>3</v>
      </c>
    </row>
    <row r="696" customFormat="false" ht="15" hidden="false" customHeight="true" outlineLevel="0" collapsed="false">
      <c r="A696" s="18" t="s">
        <v>734</v>
      </c>
      <c r="B696" s="19" t="n">
        <v>45496</v>
      </c>
      <c r="C696" s="18" t="s">
        <v>27</v>
      </c>
      <c r="D696" s="18" t="s">
        <v>88</v>
      </c>
      <c r="E696" s="18" t="s">
        <v>50</v>
      </c>
      <c r="F696" s="20" t="n">
        <v>870</v>
      </c>
      <c r="G696" s="20" t="n">
        <v>260.13</v>
      </c>
      <c r="H696" s="18" t="n">
        <v>6</v>
      </c>
    </row>
    <row r="697" customFormat="false" ht="15" hidden="false" customHeight="true" outlineLevel="0" collapsed="false">
      <c r="A697" s="18" t="s">
        <v>735</v>
      </c>
      <c r="B697" s="19" t="n">
        <v>45461</v>
      </c>
      <c r="C697" s="18" t="s">
        <v>41</v>
      </c>
      <c r="D697" s="18" t="s">
        <v>96</v>
      </c>
      <c r="E697" s="18" t="s">
        <v>50</v>
      </c>
      <c r="F697" s="20" t="n">
        <v>688</v>
      </c>
      <c r="G697" s="20" t="n">
        <v>166.5</v>
      </c>
      <c r="H697" s="18" t="n">
        <v>8</v>
      </c>
    </row>
    <row r="698" customFormat="false" ht="15" hidden="false" customHeight="true" outlineLevel="0" collapsed="false">
      <c r="A698" s="18" t="s">
        <v>736</v>
      </c>
      <c r="B698" s="19" t="n">
        <v>45568</v>
      </c>
      <c r="C698" s="18" t="s">
        <v>19</v>
      </c>
      <c r="D698" s="18" t="s">
        <v>34</v>
      </c>
      <c r="E698" s="18" t="s">
        <v>25</v>
      </c>
      <c r="F698" s="20" t="n">
        <v>4545</v>
      </c>
      <c r="G698" s="20" t="n">
        <v>899.91</v>
      </c>
      <c r="H698" s="18" t="n">
        <v>5</v>
      </c>
    </row>
    <row r="699" customFormat="false" ht="15" hidden="false" customHeight="true" outlineLevel="0" collapsed="false">
      <c r="A699" s="18" t="s">
        <v>737</v>
      </c>
      <c r="B699" s="19" t="n">
        <v>45652</v>
      </c>
      <c r="C699" s="18" t="s">
        <v>19</v>
      </c>
      <c r="D699" s="18" t="s">
        <v>36</v>
      </c>
      <c r="E699" s="18" t="s">
        <v>25</v>
      </c>
      <c r="F699" s="20" t="n">
        <v>59770</v>
      </c>
      <c r="G699" s="20" t="n">
        <v>17811.46</v>
      </c>
      <c r="H699" s="18" t="n">
        <v>10</v>
      </c>
    </row>
    <row r="700" customFormat="false" ht="15" hidden="false" customHeight="true" outlineLevel="0" collapsed="false">
      <c r="A700" s="18" t="s">
        <v>738</v>
      </c>
      <c r="B700" s="19" t="n">
        <v>45566</v>
      </c>
      <c r="C700" s="18" t="s">
        <v>27</v>
      </c>
      <c r="D700" s="18" t="s">
        <v>46</v>
      </c>
      <c r="E700" s="18" t="s">
        <v>29</v>
      </c>
      <c r="F700" s="20" t="n">
        <v>48084</v>
      </c>
      <c r="G700" s="20" t="n">
        <v>9568.72</v>
      </c>
      <c r="H700" s="18" t="n">
        <v>6</v>
      </c>
    </row>
    <row r="701" customFormat="false" ht="15" hidden="false" customHeight="true" outlineLevel="0" collapsed="false">
      <c r="A701" s="18" t="s">
        <v>739</v>
      </c>
      <c r="B701" s="19" t="n">
        <v>45414</v>
      </c>
      <c r="C701" s="18" t="s">
        <v>23</v>
      </c>
      <c r="D701" s="18" t="s">
        <v>70</v>
      </c>
      <c r="E701" s="18" t="s">
        <v>21</v>
      </c>
      <c r="F701" s="20" t="n">
        <v>112365</v>
      </c>
      <c r="G701" s="20" t="n">
        <v>20338.06</v>
      </c>
      <c r="H701" s="18" t="n">
        <v>5</v>
      </c>
    </row>
    <row r="702" customFormat="false" ht="15" hidden="false" customHeight="true" outlineLevel="0" collapsed="false">
      <c r="A702" s="18" t="s">
        <v>740</v>
      </c>
      <c r="B702" s="19" t="n">
        <v>45628</v>
      </c>
      <c r="C702" s="18" t="s">
        <v>39</v>
      </c>
      <c r="D702" s="18" t="s">
        <v>52</v>
      </c>
      <c r="E702" s="18" t="s">
        <v>32</v>
      </c>
      <c r="F702" s="20" t="n">
        <v>6599</v>
      </c>
      <c r="G702" s="20" t="n">
        <v>620.31</v>
      </c>
      <c r="H702" s="18" t="n">
        <v>1</v>
      </c>
    </row>
    <row r="703" customFormat="false" ht="15" hidden="false" customHeight="true" outlineLevel="0" collapsed="false">
      <c r="A703" s="18" t="s">
        <v>741</v>
      </c>
      <c r="B703" s="19" t="n">
        <v>45339</v>
      </c>
      <c r="C703" s="18" t="s">
        <v>19</v>
      </c>
      <c r="D703" s="18" t="s">
        <v>120</v>
      </c>
      <c r="E703" s="18" t="s">
        <v>29</v>
      </c>
      <c r="F703" s="20" t="n">
        <v>139090</v>
      </c>
      <c r="G703" s="20" t="n">
        <v>23645.3</v>
      </c>
      <c r="H703" s="18" t="n">
        <v>10</v>
      </c>
    </row>
    <row r="704" customFormat="false" ht="15" hidden="false" customHeight="true" outlineLevel="0" collapsed="false">
      <c r="A704" s="18" t="s">
        <v>742</v>
      </c>
      <c r="B704" s="19" t="n">
        <v>45648</v>
      </c>
      <c r="C704" s="18" t="s">
        <v>19</v>
      </c>
      <c r="D704" s="18" t="s">
        <v>106</v>
      </c>
      <c r="E704" s="18" t="s">
        <v>25</v>
      </c>
      <c r="F704" s="20" t="n">
        <v>2362</v>
      </c>
      <c r="G704" s="20" t="n">
        <v>538.54</v>
      </c>
      <c r="H704" s="18" t="n">
        <v>1</v>
      </c>
    </row>
    <row r="705" customFormat="false" ht="15" hidden="false" customHeight="true" outlineLevel="0" collapsed="false">
      <c r="A705" s="18" t="s">
        <v>743</v>
      </c>
      <c r="B705" s="19" t="n">
        <v>45514</v>
      </c>
      <c r="C705" s="18" t="s">
        <v>19</v>
      </c>
      <c r="D705" s="18" t="s">
        <v>46</v>
      </c>
      <c r="E705" s="18" t="s">
        <v>29</v>
      </c>
      <c r="F705" s="20" t="n">
        <v>8394</v>
      </c>
      <c r="G705" s="20" t="n">
        <v>1032.46</v>
      </c>
      <c r="H705" s="18" t="n">
        <v>2</v>
      </c>
    </row>
    <row r="706" customFormat="false" ht="15" hidden="false" customHeight="true" outlineLevel="0" collapsed="false">
      <c r="A706" s="18" t="s">
        <v>744</v>
      </c>
      <c r="B706" s="19" t="n">
        <v>45622</v>
      </c>
      <c r="C706" s="18" t="s">
        <v>41</v>
      </c>
      <c r="D706" s="18" t="s">
        <v>46</v>
      </c>
      <c r="E706" s="18" t="s">
        <v>29</v>
      </c>
      <c r="F706" s="20" t="n">
        <v>77400</v>
      </c>
      <c r="G706" s="20" t="n">
        <v>14860.8</v>
      </c>
      <c r="H706" s="18" t="n">
        <v>10</v>
      </c>
    </row>
    <row r="707" customFormat="false" ht="15" hidden="false" customHeight="true" outlineLevel="0" collapsed="false">
      <c r="A707" s="18" t="s">
        <v>745</v>
      </c>
      <c r="B707" s="19" t="n">
        <v>45353</v>
      </c>
      <c r="C707" s="18" t="s">
        <v>41</v>
      </c>
      <c r="D707" s="18" t="s">
        <v>44</v>
      </c>
      <c r="E707" s="18" t="s">
        <v>32</v>
      </c>
      <c r="F707" s="20" t="n">
        <v>29210</v>
      </c>
      <c r="G707" s="20" t="n">
        <v>2453.64</v>
      </c>
      <c r="H707" s="18" t="n">
        <v>5</v>
      </c>
    </row>
    <row r="708" customFormat="false" ht="15" hidden="false" customHeight="true" outlineLevel="0" collapsed="false">
      <c r="A708" s="18" t="s">
        <v>746</v>
      </c>
      <c r="B708" s="19" t="n">
        <v>45356</v>
      </c>
      <c r="C708" s="18" t="s">
        <v>23</v>
      </c>
      <c r="D708" s="18" t="s">
        <v>46</v>
      </c>
      <c r="E708" s="18" t="s">
        <v>29</v>
      </c>
      <c r="F708" s="20" t="n">
        <v>30864</v>
      </c>
      <c r="G708" s="20" t="n">
        <v>5771.57</v>
      </c>
      <c r="H708" s="18" t="n">
        <v>6</v>
      </c>
    </row>
    <row r="709" customFormat="false" ht="15" hidden="false" customHeight="true" outlineLevel="0" collapsed="false">
      <c r="A709" s="18" t="s">
        <v>747</v>
      </c>
      <c r="B709" s="19" t="n">
        <v>45632</v>
      </c>
      <c r="C709" s="18" t="s">
        <v>39</v>
      </c>
      <c r="D709" s="18" t="s">
        <v>64</v>
      </c>
      <c r="E709" s="18" t="s">
        <v>32</v>
      </c>
      <c r="F709" s="20" t="n">
        <v>356993</v>
      </c>
      <c r="G709" s="20" t="n">
        <v>39626.22</v>
      </c>
      <c r="H709" s="18" t="n">
        <v>7</v>
      </c>
    </row>
    <row r="710" customFormat="false" ht="15" hidden="false" customHeight="true" outlineLevel="0" collapsed="false">
      <c r="A710" s="18" t="s">
        <v>748</v>
      </c>
      <c r="B710" s="19" t="n">
        <v>45446</v>
      </c>
      <c r="C710" s="18" t="s">
        <v>41</v>
      </c>
      <c r="D710" s="18" t="s">
        <v>106</v>
      </c>
      <c r="E710" s="18" t="s">
        <v>25</v>
      </c>
      <c r="F710" s="20" t="n">
        <v>11862</v>
      </c>
      <c r="G710" s="20" t="n">
        <v>2431.71</v>
      </c>
      <c r="H710" s="18" t="n">
        <v>9</v>
      </c>
    </row>
    <row r="711" customFormat="false" ht="15" hidden="false" customHeight="true" outlineLevel="0" collapsed="false">
      <c r="A711" s="18" t="s">
        <v>749</v>
      </c>
      <c r="B711" s="19" t="n">
        <v>45392</v>
      </c>
      <c r="C711" s="18" t="s">
        <v>39</v>
      </c>
      <c r="D711" s="18" t="s">
        <v>52</v>
      </c>
      <c r="E711" s="18" t="s">
        <v>32</v>
      </c>
      <c r="F711" s="20" t="n">
        <v>17962</v>
      </c>
      <c r="G711" s="20" t="n">
        <v>2263.21</v>
      </c>
      <c r="H711" s="18" t="n">
        <v>7</v>
      </c>
    </row>
    <row r="712" customFormat="false" ht="15" hidden="false" customHeight="true" outlineLevel="0" collapsed="false">
      <c r="A712" s="18" t="s">
        <v>750</v>
      </c>
      <c r="B712" s="19" t="n">
        <v>45385</v>
      </c>
      <c r="C712" s="18" t="s">
        <v>41</v>
      </c>
      <c r="D712" s="18" t="s">
        <v>88</v>
      </c>
      <c r="E712" s="18" t="s">
        <v>50</v>
      </c>
      <c r="F712" s="20" t="n">
        <v>1981</v>
      </c>
      <c r="G712" s="20" t="n">
        <v>503.17</v>
      </c>
      <c r="H712" s="18" t="n">
        <v>7</v>
      </c>
    </row>
    <row r="713" customFormat="false" ht="15" hidden="false" customHeight="true" outlineLevel="0" collapsed="false">
      <c r="A713" s="18" t="s">
        <v>751</v>
      </c>
      <c r="B713" s="19" t="n">
        <v>45318</v>
      </c>
      <c r="C713" s="18" t="s">
        <v>19</v>
      </c>
      <c r="D713" s="18" t="s">
        <v>55</v>
      </c>
      <c r="E713" s="18" t="s">
        <v>32</v>
      </c>
      <c r="F713" s="20" t="n">
        <v>109158</v>
      </c>
      <c r="G713" s="20" t="n">
        <v>14845.49</v>
      </c>
      <c r="H713" s="18" t="n">
        <v>6</v>
      </c>
    </row>
    <row r="714" customFormat="false" ht="15" hidden="false" customHeight="true" outlineLevel="0" collapsed="false">
      <c r="A714" s="18" t="s">
        <v>752</v>
      </c>
      <c r="B714" s="19" t="n">
        <v>45650</v>
      </c>
      <c r="C714" s="18" t="s">
        <v>39</v>
      </c>
      <c r="D714" s="18" t="s">
        <v>49</v>
      </c>
      <c r="E714" s="18" t="s">
        <v>50</v>
      </c>
      <c r="F714" s="20" t="n">
        <v>64</v>
      </c>
      <c r="G714" s="20" t="n">
        <v>12.8</v>
      </c>
      <c r="H714" s="18" t="n">
        <v>2</v>
      </c>
    </row>
    <row r="715" customFormat="false" ht="15" hidden="false" customHeight="true" outlineLevel="0" collapsed="false">
      <c r="A715" s="18" t="s">
        <v>753</v>
      </c>
      <c r="B715" s="19" t="n">
        <v>45608</v>
      </c>
      <c r="C715" s="18" t="s">
        <v>19</v>
      </c>
      <c r="D715" s="18" t="s">
        <v>24</v>
      </c>
      <c r="E715" s="18" t="s">
        <v>25</v>
      </c>
      <c r="F715" s="20" t="n">
        <v>8240</v>
      </c>
      <c r="G715" s="20" t="n">
        <v>1359.6</v>
      </c>
      <c r="H715" s="18" t="n">
        <v>4</v>
      </c>
    </row>
    <row r="716" customFormat="false" ht="15" hidden="false" customHeight="true" outlineLevel="0" collapsed="false">
      <c r="A716" s="18" t="s">
        <v>754</v>
      </c>
      <c r="B716" s="19" t="n">
        <v>45612</v>
      </c>
      <c r="C716" s="18" t="s">
        <v>41</v>
      </c>
      <c r="D716" s="18" t="s">
        <v>91</v>
      </c>
      <c r="E716" s="18" t="s">
        <v>25</v>
      </c>
      <c r="F716" s="20" t="n">
        <v>9708</v>
      </c>
      <c r="G716" s="20" t="n">
        <v>1495.03</v>
      </c>
      <c r="H716" s="18" t="n">
        <v>2</v>
      </c>
    </row>
    <row r="717" customFormat="false" ht="15" hidden="false" customHeight="true" outlineLevel="0" collapsed="false">
      <c r="A717" s="18" t="s">
        <v>598</v>
      </c>
      <c r="B717" s="19" t="n">
        <v>45527</v>
      </c>
      <c r="C717" s="18" t="s">
        <v>39</v>
      </c>
      <c r="D717" s="18" t="s">
        <v>49</v>
      </c>
      <c r="E717" s="18" t="s">
        <v>50</v>
      </c>
      <c r="F717" s="20" t="n">
        <v>258</v>
      </c>
      <c r="G717" s="20" t="n">
        <v>101.39</v>
      </c>
      <c r="H717" s="18" t="n">
        <v>3</v>
      </c>
    </row>
    <row r="718" customFormat="false" ht="15" hidden="false" customHeight="true" outlineLevel="0" collapsed="false">
      <c r="A718" s="18" t="s">
        <v>755</v>
      </c>
      <c r="B718" s="19" t="n">
        <v>45341</v>
      </c>
      <c r="C718" s="18" t="s">
        <v>27</v>
      </c>
      <c r="D718" s="18" t="s">
        <v>58</v>
      </c>
      <c r="E718" s="18" t="s">
        <v>50</v>
      </c>
      <c r="F718" s="20" t="n">
        <v>606</v>
      </c>
      <c r="G718" s="20" t="n">
        <v>235.13</v>
      </c>
      <c r="H718" s="18" t="n">
        <v>6</v>
      </c>
    </row>
    <row r="719" customFormat="false" ht="15" hidden="false" customHeight="true" outlineLevel="0" collapsed="false">
      <c r="A719" s="18" t="s">
        <v>37</v>
      </c>
      <c r="B719" s="19" t="n">
        <v>45429</v>
      </c>
      <c r="C719" s="18" t="s">
        <v>19</v>
      </c>
      <c r="D719" s="18" t="s">
        <v>31</v>
      </c>
      <c r="E719" s="18" t="s">
        <v>32</v>
      </c>
      <c r="F719" s="20" t="n">
        <v>531408</v>
      </c>
      <c r="G719" s="20" t="n">
        <v>84493.87</v>
      </c>
      <c r="H719" s="18" t="n">
        <v>6</v>
      </c>
    </row>
    <row r="720" customFormat="false" ht="15" hidden="false" customHeight="true" outlineLevel="0" collapsed="false">
      <c r="A720" s="18" t="s">
        <v>756</v>
      </c>
      <c r="B720" s="19" t="n">
        <v>45409</v>
      </c>
      <c r="C720" s="18" t="s">
        <v>41</v>
      </c>
      <c r="D720" s="18" t="s">
        <v>64</v>
      </c>
      <c r="E720" s="18" t="s">
        <v>32</v>
      </c>
      <c r="F720" s="20" t="n">
        <v>87858</v>
      </c>
      <c r="G720" s="20" t="n">
        <v>11509.4</v>
      </c>
      <c r="H720" s="18" t="n">
        <v>6</v>
      </c>
    </row>
    <row r="721" customFormat="false" ht="15" hidden="false" customHeight="true" outlineLevel="0" collapsed="false">
      <c r="A721" s="18" t="s">
        <v>757</v>
      </c>
      <c r="B721" s="19" t="n">
        <v>45564</v>
      </c>
      <c r="C721" s="18" t="s">
        <v>39</v>
      </c>
      <c r="D721" s="18" t="s">
        <v>93</v>
      </c>
      <c r="E721" s="18" t="s">
        <v>32</v>
      </c>
      <c r="F721" s="20" t="n">
        <v>84056</v>
      </c>
      <c r="G721" s="20" t="n">
        <v>8153.43</v>
      </c>
      <c r="H721" s="18" t="n">
        <v>8</v>
      </c>
    </row>
    <row r="722" customFormat="false" ht="15" hidden="false" customHeight="true" outlineLevel="0" collapsed="false">
      <c r="A722" s="18" t="s">
        <v>758</v>
      </c>
      <c r="B722" s="19" t="n">
        <v>45598</v>
      </c>
      <c r="C722" s="18" t="s">
        <v>23</v>
      </c>
      <c r="D722" s="18" t="s">
        <v>91</v>
      </c>
      <c r="E722" s="18" t="s">
        <v>25</v>
      </c>
      <c r="F722" s="20" t="n">
        <v>14217</v>
      </c>
      <c r="G722" s="20" t="n">
        <v>2331.59</v>
      </c>
      <c r="H722" s="18" t="n">
        <v>3</v>
      </c>
    </row>
    <row r="723" customFormat="false" ht="15" hidden="false" customHeight="true" outlineLevel="0" collapsed="false">
      <c r="A723" s="18" t="s">
        <v>759</v>
      </c>
      <c r="B723" s="19" t="n">
        <v>45639</v>
      </c>
      <c r="C723" s="18" t="s">
        <v>41</v>
      </c>
      <c r="D723" s="18" t="s">
        <v>93</v>
      </c>
      <c r="E723" s="18" t="s">
        <v>32</v>
      </c>
      <c r="F723" s="20" t="n">
        <v>17297</v>
      </c>
      <c r="G723" s="20" t="n">
        <v>3096.16</v>
      </c>
      <c r="H723" s="18" t="n">
        <v>7</v>
      </c>
    </row>
    <row r="724" customFormat="false" ht="15" hidden="false" customHeight="true" outlineLevel="0" collapsed="false">
      <c r="A724" s="18" t="s">
        <v>760</v>
      </c>
      <c r="B724" s="19" t="n">
        <v>45573</v>
      </c>
      <c r="C724" s="18" t="s">
        <v>23</v>
      </c>
      <c r="D724" s="18" t="s">
        <v>106</v>
      </c>
      <c r="E724" s="18" t="s">
        <v>25</v>
      </c>
      <c r="F724" s="20" t="n">
        <v>1458</v>
      </c>
      <c r="G724" s="20" t="n">
        <v>332.42</v>
      </c>
      <c r="H724" s="18" t="n">
        <v>1</v>
      </c>
    </row>
    <row r="725" customFormat="false" ht="15" hidden="false" customHeight="true" outlineLevel="0" collapsed="false">
      <c r="A725" s="18" t="s">
        <v>761</v>
      </c>
      <c r="B725" s="19" t="n">
        <v>45389</v>
      </c>
      <c r="C725" s="18" t="s">
        <v>41</v>
      </c>
      <c r="D725" s="18" t="s">
        <v>42</v>
      </c>
      <c r="E725" s="18" t="s">
        <v>21</v>
      </c>
      <c r="F725" s="20" t="n">
        <v>84028</v>
      </c>
      <c r="G725" s="20" t="n">
        <v>16133.38</v>
      </c>
      <c r="H725" s="18" t="n">
        <v>7</v>
      </c>
    </row>
    <row r="726" customFormat="false" ht="15" hidden="false" customHeight="true" outlineLevel="0" collapsed="false">
      <c r="A726" s="18" t="s">
        <v>762</v>
      </c>
      <c r="B726" s="19" t="n">
        <v>45605</v>
      </c>
      <c r="C726" s="18" t="s">
        <v>39</v>
      </c>
      <c r="D726" s="18" t="s">
        <v>75</v>
      </c>
      <c r="E726" s="18" t="s">
        <v>29</v>
      </c>
      <c r="F726" s="20" t="n">
        <v>12260</v>
      </c>
      <c r="G726" s="20" t="n">
        <v>2378.44</v>
      </c>
      <c r="H726" s="18" t="n">
        <v>10</v>
      </c>
    </row>
    <row r="727" customFormat="false" ht="15" hidden="false" customHeight="true" outlineLevel="0" collapsed="false">
      <c r="A727" s="18" t="s">
        <v>763</v>
      </c>
      <c r="B727" s="19" t="n">
        <v>45472</v>
      </c>
      <c r="C727" s="18" t="s">
        <v>39</v>
      </c>
      <c r="D727" s="18" t="s">
        <v>93</v>
      </c>
      <c r="E727" s="18" t="s">
        <v>32</v>
      </c>
      <c r="F727" s="20" t="n">
        <v>85500</v>
      </c>
      <c r="G727" s="20" t="n">
        <v>8379</v>
      </c>
      <c r="H727" s="18" t="n">
        <v>9</v>
      </c>
    </row>
    <row r="728" customFormat="false" ht="15" hidden="false" customHeight="true" outlineLevel="0" collapsed="false">
      <c r="A728" s="18" t="s">
        <v>764</v>
      </c>
      <c r="B728" s="19" t="n">
        <v>45532</v>
      </c>
      <c r="C728" s="18" t="s">
        <v>39</v>
      </c>
      <c r="D728" s="18" t="s">
        <v>58</v>
      </c>
      <c r="E728" s="18" t="s">
        <v>50</v>
      </c>
      <c r="F728" s="20" t="n">
        <v>860</v>
      </c>
      <c r="G728" s="20" t="n">
        <v>251.12</v>
      </c>
      <c r="H728" s="18" t="n">
        <v>10</v>
      </c>
    </row>
    <row r="729" customFormat="false" ht="15" hidden="false" customHeight="true" outlineLevel="0" collapsed="false">
      <c r="A729" s="18" t="s">
        <v>765</v>
      </c>
      <c r="B729" s="19" t="n">
        <v>45449</v>
      </c>
      <c r="C729" s="18" t="s">
        <v>41</v>
      </c>
      <c r="D729" s="18" t="s">
        <v>42</v>
      </c>
      <c r="E729" s="18" t="s">
        <v>21</v>
      </c>
      <c r="F729" s="20" t="n">
        <v>96733</v>
      </c>
      <c r="G729" s="20" t="n">
        <v>12285.09</v>
      </c>
      <c r="H729" s="18" t="n">
        <v>7</v>
      </c>
    </row>
    <row r="730" customFormat="false" ht="15" hidden="false" customHeight="true" outlineLevel="0" collapsed="false">
      <c r="A730" s="18" t="s">
        <v>766</v>
      </c>
      <c r="B730" s="19" t="n">
        <v>45587</v>
      </c>
      <c r="C730" s="18" t="s">
        <v>19</v>
      </c>
      <c r="D730" s="18" t="s">
        <v>36</v>
      </c>
      <c r="E730" s="18" t="s">
        <v>25</v>
      </c>
      <c r="F730" s="20" t="n">
        <v>18417</v>
      </c>
      <c r="G730" s="20" t="n">
        <v>5911.86</v>
      </c>
      <c r="H730" s="18" t="n">
        <v>7</v>
      </c>
    </row>
    <row r="731" customFormat="false" ht="15" hidden="false" customHeight="true" outlineLevel="0" collapsed="false">
      <c r="A731" s="18" t="s">
        <v>767</v>
      </c>
      <c r="B731" s="19" t="n">
        <v>45316</v>
      </c>
      <c r="C731" s="18" t="s">
        <v>19</v>
      </c>
      <c r="D731" s="18" t="s">
        <v>83</v>
      </c>
      <c r="E731" s="18" t="s">
        <v>21</v>
      </c>
      <c r="F731" s="20" t="n">
        <v>17058</v>
      </c>
      <c r="G731" s="20" t="n">
        <v>3019.27</v>
      </c>
      <c r="H731" s="18" t="n">
        <v>2</v>
      </c>
    </row>
    <row r="732" customFormat="false" ht="15" hidden="false" customHeight="true" outlineLevel="0" collapsed="false">
      <c r="A732" s="18" t="s">
        <v>768</v>
      </c>
      <c r="B732" s="19" t="n">
        <v>45526</v>
      </c>
      <c r="C732" s="18" t="s">
        <v>19</v>
      </c>
      <c r="D732" s="18" t="s">
        <v>106</v>
      </c>
      <c r="E732" s="18" t="s">
        <v>25</v>
      </c>
      <c r="F732" s="20" t="n">
        <v>2571</v>
      </c>
      <c r="G732" s="20" t="n">
        <v>763.59</v>
      </c>
      <c r="H732" s="18" t="n">
        <v>3</v>
      </c>
    </row>
    <row r="733" customFormat="false" ht="15" hidden="false" customHeight="true" outlineLevel="0" collapsed="false">
      <c r="A733" s="18" t="s">
        <v>769</v>
      </c>
      <c r="B733" s="19" t="n">
        <v>45613</v>
      </c>
      <c r="C733" s="18" t="s">
        <v>39</v>
      </c>
      <c r="D733" s="18" t="s">
        <v>120</v>
      </c>
      <c r="E733" s="18" t="s">
        <v>29</v>
      </c>
      <c r="F733" s="20" t="n">
        <v>56190</v>
      </c>
      <c r="G733" s="20" t="n">
        <v>10732.29</v>
      </c>
      <c r="H733" s="18" t="n">
        <v>5</v>
      </c>
    </row>
    <row r="734" customFormat="false" ht="15" hidden="false" customHeight="true" outlineLevel="0" collapsed="false">
      <c r="A734" s="18" t="s">
        <v>770</v>
      </c>
      <c r="B734" s="19" t="n">
        <v>45553</v>
      </c>
      <c r="C734" s="18" t="s">
        <v>27</v>
      </c>
      <c r="D734" s="18" t="s">
        <v>24</v>
      </c>
      <c r="E734" s="18" t="s">
        <v>25</v>
      </c>
      <c r="F734" s="20" t="n">
        <v>5847</v>
      </c>
      <c r="G734" s="20" t="n">
        <v>976.45</v>
      </c>
      <c r="H734" s="18" t="n">
        <v>3</v>
      </c>
    </row>
    <row r="735" customFormat="false" ht="15" hidden="false" customHeight="true" outlineLevel="0" collapsed="false">
      <c r="A735" s="18" t="s">
        <v>133</v>
      </c>
      <c r="B735" s="19" t="n">
        <v>45636</v>
      </c>
      <c r="C735" s="18" t="s">
        <v>19</v>
      </c>
      <c r="D735" s="18" t="s">
        <v>46</v>
      </c>
      <c r="E735" s="18" t="s">
        <v>29</v>
      </c>
      <c r="F735" s="20" t="n">
        <v>6370</v>
      </c>
      <c r="G735" s="20" t="n">
        <v>936.39</v>
      </c>
      <c r="H735" s="18" t="n">
        <v>1</v>
      </c>
    </row>
    <row r="736" customFormat="false" ht="15" hidden="false" customHeight="true" outlineLevel="0" collapsed="false">
      <c r="A736" s="18" t="s">
        <v>771</v>
      </c>
      <c r="B736" s="19" t="n">
        <v>45606</v>
      </c>
      <c r="C736" s="18" t="s">
        <v>39</v>
      </c>
      <c r="D736" s="18" t="s">
        <v>24</v>
      </c>
      <c r="E736" s="18" t="s">
        <v>25</v>
      </c>
      <c r="F736" s="20" t="n">
        <v>3891</v>
      </c>
      <c r="G736" s="20" t="n">
        <v>1140.06</v>
      </c>
      <c r="H736" s="18" t="n">
        <v>3</v>
      </c>
    </row>
    <row r="737" customFormat="false" ht="15" hidden="false" customHeight="true" outlineLevel="0" collapsed="false">
      <c r="A737" s="18" t="s">
        <v>772</v>
      </c>
      <c r="B737" s="19" t="n">
        <v>45581</v>
      </c>
      <c r="C737" s="18" t="s">
        <v>23</v>
      </c>
      <c r="D737" s="18" t="s">
        <v>70</v>
      </c>
      <c r="E737" s="18" t="s">
        <v>21</v>
      </c>
      <c r="F737" s="20" t="n">
        <v>89676</v>
      </c>
      <c r="G737" s="20" t="n">
        <v>15872.65</v>
      </c>
      <c r="H737" s="18" t="n">
        <v>6</v>
      </c>
    </row>
    <row r="738" customFormat="false" ht="15" hidden="false" customHeight="true" outlineLevel="0" collapsed="false">
      <c r="A738" s="18" t="s">
        <v>773</v>
      </c>
      <c r="B738" s="19" t="n">
        <v>45499</v>
      </c>
      <c r="C738" s="18" t="s">
        <v>39</v>
      </c>
      <c r="D738" s="18" t="s">
        <v>62</v>
      </c>
      <c r="E738" s="18" t="s">
        <v>50</v>
      </c>
      <c r="F738" s="20" t="n">
        <v>597</v>
      </c>
      <c r="G738" s="20" t="n">
        <v>183.28</v>
      </c>
      <c r="H738" s="18" t="n">
        <v>3</v>
      </c>
    </row>
    <row r="739" customFormat="false" ht="15" hidden="false" customHeight="true" outlineLevel="0" collapsed="false">
      <c r="A739" s="18" t="s">
        <v>774</v>
      </c>
      <c r="B739" s="19" t="n">
        <v>45602</v>
      </c>
      <c r="C739" s="18" t="s">
        <v>19</v>
      </c>
      <c r="D739" s="18" t="s">
        <v>62</v>
      </c>
      <c r="E739" s="18" t="s">
        <v>50</v>
      </c>
      <c r="F739" s="20" t="n">
        <v>1224</v>
      </c>
      <c r="G739" s="20" t="n">
        <v>410.04</v>
      </c>
      <c r="H739" s="18" t="n">
        <v>8</v>
      </c>
    </row>
    <row r="740" customFormat="false" ht="15" hidden="false" customHeight="true" outlineLevel="0" collapsed="false">
      <c r="A740" s="18" t="s">
        <v>775</v>
      </c>
      <c r="B740" s="19" t="n">
        <v>45363</v>
      </c>
      <c r="C740" s="18" t="s">
        <v>39</v>
      </c>
      <c r="D740" s="18" t="s">
        <v>20</v>
      </c>
      <c r="E740" s="18" t="s">
        <v>21</v>
      </c>
      <c r="F740" s="20" t="n">
        <v>12340</v>
      </c>
      <c r="G740" s="20" t="n">
        <v>2048.44</v>
      </c>
      <c r="H740" s="18" t="n">
        <v>1</v>
      </c>
    </row>
    <row r="741" customFormat="false" ht="15" hidden="false" customHeight="true" outlineLevel="0" collapsed="false">
      <c r="A741" s="18" t="s">
        <v>776</v>
      </c>
      <c r="B741" s="19" t="n">
        <v>45358</v>
      </c>
      <c r="C741" s="18" t="s">
        <v>27</v>
      </c>
      <c r="D741" s="18" t="s">
        <v>96</v>
      </c>
      <c r="E741" s="18" t="s">
        <v>50</v>
      </c>
      <c r="F741" s="20" t="n">
        <v>276</v>
      </c>
      <c r="G741" s="20" t="n">
        <v>77.83</v>
      </c>
      <c r="H741" s="18" t="n">
        <v>2</v>
      </c>
    </row>
    <row r="742" customFormat="false" ht="15" hidden="false" customHeight="true" outlineLevel="0" collapsed="false">
      <c r="A742" s="18" t="s">
        <v>777</v>
      </c>
      <c r="B742" s="19" t="n">
        <v>45563</v>
      </c>
      <c r="C742" s="18" t="s">
        <v>41</v>
      </c>
      <c r="D742" s="18" t="s">
        <v>120</v>
      </c>
      <c r="E742" s="18" t="s">
        <v>29</v>
      </c>
      <c r="F742" s="20" t="n">
        <v>84030</v>
      </c>
      <c r="G742" s="20" t="n">
        <v>8571.06</v>
      </c>
      <c r="H742" s="18" t="n">
        <v>6</v>
      </c>
    </row>
    <row r="743" customFormat="false" ht="15" hidden="false" customHeight="true" outlineLevel="0" collapsed="false">
      <c r="A743" s="18" t="s">
        <v>778</v>
      </c>
      <c r="B743" s="19" t="n">
        <v>45610</v>
      </c>
      <c r="C743" s="18" t="s">
        <v>23</v>
      </c>
      <c r="D743" s="18" t="s">
        <v>52</v>
      </c>
      <c r="E743" s="18" t="s">
        <v>32</v>
      </c>
      <c r="F743" s="20" t="n">
        <v>10408</v>
      </c>
      <c r="G743" s="20" t="n">
        <v>1051.21</v>
      </c>
      <c r="H743" s="18" t="n">
        <v>2</v>
      </c>
    </row>
    <row r="744" customFormat="false" ht="15" hidden="false" customHeight="true" outlineLevel="0" collapsed="false">
      <c r="A744" s="18" t="s">
        <v>779</v>
      </c>
      <c r="B744" s="19" t="n">
        <v>45427</v>
      </c>
      <c r="C744" s="18" t="s">
        <v>39</v>
      </c>
      <c r="D744" s="18" t="s">
        <v>42</v>
      </c>
      <c r="E744" s="18" t="s">
        <v>21</v>
      </c>
      <c r="F744" s="20" t="n">
        <v>70716</v>
      </c>
      <c r="G744" s="20" t="n">
        <v>10748.83</v>
      </c>
      <c r="H744" s="18" t="n">
        <v>4</v>
      </c>
    </row>
    <row r="745" customFormat="false" ht="15" hidden="false" customHeight="true" outlineLevel="0" collapsed="false">
      <c r="A745" s="18" t="s">
        <v>780</v>
      </c>
      <c r="B745" s="19" t="n">
        <v>45347</v>
      </c>
      <c r="C745" s="18" t="s">
        <v>41</v>
      </c>
      <c r="D745" s="18" t="s">
        <v>20</v>
      </c>
      <c r="E745" s="18" t="s">
        <v>21</v>
      </c>
      <c r="F745" s="20" t="n">
        <v>153747</v>
      </c>
      <c r="G745" s="20" t="n">
        <v>36591.79</v>
      </c>
      <c r="H745" s="18" t="n">
        <v>9</v>
      </c>
    </row>
    <row r="746" customFormat="false" ht="15" hidden="false" customHeight="true" outlineLevel="0" collapsed="false">
      <c r="A746" s="18" t="s">
        <v>781</v>
      </c>
      <c r="B746" s="19" t="n">
        <v>45645</v>
      </c>
      <c r="C746" s="18" t="s">
        <v>39</v>
      </c>
      <c r="D746" s="18" t="s">
        <v>72</v>
      </c>
      <c r="E746" s="18" t="s">
        <v>29</v>
      </c>
      <c r="F746" s="20" t="n">
        <v>11049</v>
      </c>
      <c r="G746" s="20" t="n">
        <v>1745.74</v>
      </c>
      <c r="H746" s="18" t="n">
        <v>1</v>
      </c>
    </row>
    <row r="747" customFormat="false" ht="15" hidden="false" customHeight="true" outlineLevel="0" collapsed="false">
      <c r="A747" s="18" t="s">
        <v>782</v>
      </c>
      <c r="B747" s="19" t="n">
        <v>45558</v>
      </c>
      <c r="C747" s="18" t="s">
        <v>27</v>
      </c>
      <c r="D747" s="18" t="s">
        <v>75</v>
      </c>
      <c r="E747" s="18" t="s">
        <v>29</v>
      </c>
      <c r="F747" s="20" t="n">
        <v>7696</v>
      </c>
      <c r="G747" s="20" t="n">
        <v>1108.22</v>
      </c>
      <c r="H747" s="18" t="n">
        <v>4</v>
      </c>
    </row>
    <row r="748" customFormat="false" ht="15" hidden="false" customHeight="true" outlineLevel="0" collapsed="false">
      <c r="A748" s="18" t="s">
        <v>783</v>
      </c>
      <c r="B748" s="19" t="n">
        <v>45540</v>
      </c>
      <c r="C748" s="18" t="s">
        <v>41</v>
      </c>
      <c r="D748" s="18" t="s">
        <v>88</v>
      </c>
      <c r="E748" s="18" t="s">
        <v>50</v>
      </c>
      <c r="F748" s="20" t="n">
        <v>2352</v>
      </c>
      <c r="G748" s="20" t="n">
        <v>790.27</v>
      </c>
      <c r="H748" s="18" t="n">
        <v>6</v>
      </c>
    </row>
    <row r="749" customFormat="false" ht="15" hidden="false" customHeight="true" outlineLevel="0" collapsed="false">
      <c r="A749" s="18" t="s">
        <v>784</v>
      </c>
      <c r="B749" s="19" t="n">
        <v>45530</v>
      </c>
      <c r="C749" s="18" t="s">
        <v>19</v>
      </c>
      <c r="D749" s="18" t="s">
        <v>44</v>
      </c>
      <c r="E749" s="18" t="s">
        <v>32</v>
      </c>
      <c r="F749" s="20" t="n">
        <v>35112</v>
      </c>
      <c r="G749" s="20" t="n">
        <v>6039.26</v>
      </c>
      <c r="H749" s="18" t="n">
        <v>7</v>
      </c>
    </row>
    <row r="750" customFormat="false" ht="15" hidden="false" customHeight="true" outlineLevel="0" collapsed="false">
      <c r="A750" s="18" t="s">
        <v>785</v>
      </c>
      <c r="B750" s="19" t="n">
        <v>45574</v>
      </c>
      <c r="C750" s="18" t="s">
        <v>41</v>
      </c>
      <c r="D750" s="18" t="s">
        <v>72</v>
      </c>
      <c r="E750" s="18" t="s">
        <v>29</v>
      </c>
      <c r="F750" s="20" t="n">
        <v>45689</v>
      </c>
      <c r="G750" s="20" t="n">
        <v>5574.06</v>
      </c>
      <c r="H750" s="18" t="n">
        <v>7</v>
      </c>
    </row>
    <row r="751" customFormat="false" ht="15" hidden="false" customHeight="true" outlineLevel="0" collapsed="false">
      <c r="A751" s="18" t="s">
        <v>786</v>
      </c>
      <c r="B751" s="19" t="n">
        <v>45602</v>
      </c>
      <c r="C751" s="18" t="s">
        <v>39</v>
      </c>
      <c r="D751" s="18" t="s">
        <v>62</v>
      </c>
      <c r="E751" s="18" t="s">
        <v>50</v>
      </c>
      <c r="F751" s="20" t="n">
        <v>1309</v>
      </c>
      <c r="G751" s="20" t="n">
        <v>263.11</v>
      </c>
      <c r="H751" s="18" t="n">
        <v>7</v>
      </c>
    </row>
    <row r="752" customFormat="false" ht="15" hidden="false" customHeight="true" outlineLevel="0" collapsed="false">
      <c r="A752" s="18" t="s">
        <v>787</v>
      </c>
      <c r="B752" s="19" t="n">
        <v>45508</v>
      </c>
      <c r="C752" s="18" t="s">
        <v>41</v>
      </c>
      <c r="D752" s="18" t="s">
        <v>28</v>
      </c>
      <c r="E752" s="18" t="s">
        <v>29</v>
      </c>
      <c r="F752" s="20" t="n">
        <v>4414</v>
      </c>
      <c r="G752" s="20" t="n">
        <v>609.13</v>
      </c>
      <c r="H752" s="18" t="n">
        <v>2</v>
      </c>
    </row>
    <row r="753" customFormat="false" ht="15" hidden="false" customHeight="true" outlineLevel="0" collapsed="false">
      <c r="A753" s="18" t="s">
        <v>788</v>
      </c>
      <c r="B753" s="19" t="n">
        <v>45652</v>
      </c>
      <c r="C753" s="18" t="s">
        <v>41</v>
      </c>
      <c r="D753" s="18" t="s">
        <v>55</v>
      </c>
      <c r="E753" s="18" t="s">
        <v>32</v>
      </c>
      <c r="F753" s="20" t="n">
        <v>275796</v>
      </c>
      <c r="G753" s="20" t="n">
        <v>42196.79</v>
      </c>
      <c r="H753" s="18" t="n">
        <v>9</v>
      </c>
    </row>
    <row r="754" customFormat="false" ht="15" hidden="false" customHeight="true" outlineLevel="0" collapsed="false">
      <c r="A754" s="18" t="s">
        <v>789</v>
      </c>
      <c r="B754" s="19" t="n">
        <v>45634</v>
      </c>
      <c r="C754" s="18" t="s">
        <v>19</v>
      </c>
      <c r="D754" s="18" t="s">
        <v>55</v>
      </c>
      <c r="E754" s="18" t="s">
        <v>32</v>
      </c>
      <c r="F754" s="20" t="n">
        <v>103404</v>
      </c>
      <c r="G754" s="20" t="n">
        <v>12822.1</v>
      </c>
      <c r="H754" s="18" t="n">
        <v>7</v>
      </c>
    </row>
    <row r="755" customFormat="false" ht="15" hidden="false" customHeight="true" outlineLevel="0" collapsed="false">
      <c r="A755" s="18" t="s">
        <v>790</v>
      </c>
      <c r="B755" s="19" t="n">
        <v>45498</v>
      </c>
      <c r="C755" s="18" t="s">
        <v>39</v>
      </c>
      <c r="D755" s="18" t="s">
        <v>120</v>
      </c>
      <c r="E755" s="18" t="s">
        <v>29</v>
      </c>
      <c r="F755" s="20" t="n">
        <v>171540</v>
      </c>
      <c r="G755" s="20" t="n">
        <v>28990.26</v>
      </c>
      <c r="H755" s="18" t="n">
        <v>10</v>
      </c>
    </row>
    <row r="756" customFormat="false" ht="15" hidden="false" customHeight="true" outlineLevel="0" collapsed="false">
      <c r="A756" s="18" t="s">
        <v>791</v>
      </c>
      <c r="B756" s="19" t="n">
        <v>45472</v>
      </c>
      <c r="C756" s="18" t="s">
        <v>41</v>
      </c>
      <c r="D756" s="18" t="s">
        <v>46</v>
      </c>
      <c r="E756" s="18" t="s">
        <v>29</v>
      </c>
      <c r="F756" s="20" t="n">
        <v>62865</v>
      </c>
      <c r="G756" s="20" t="n">
        <v>7229.48</v>
      </c>
      <c r="H756" s="18" t="n">
        <v>9</v>
      </c>
    </row>
    <row r="757" customFormat="false" ht="15" hidden="false" customHeight="true" outlineLevel="0" collapsed="false">
      <c r="A757" s="18" t="s">
        <v>792</v>
      </c>
      <c r="B757" s="19" t="n">
        <v>45594</v>
      </c>
      <c r="C757" s="18" t="s">
        <v>27</v>
      </c>
      <c r="D757" s="18" t="s">
        <v>24</v>
      </c>
      <c r="E757" s="18" t="s">
        <v>25</v>
      </c>
      <c r="F757" s="20" t="n">
        <v>19890</v>
      </c>
      <c r="G757" s="20" t="n">
        <v>4733.82</v>
      </c>
      <c r="H757" s="18" t="n">
        <v>10</v>
      </c>
    </row>
    <row r="758" customFormat="false" ht="15" hidden="false" customHeight="true" outlineLevel="0" collapsed="false">
      <c r="A758" s="18" t="s">
        <v>793</v>
      </c>
      <c r="B758" s="19" t="n">
        <v>45435</v>
      </c>
      <c r="C758" s="18" t="s">
        <v>23</v>
      </c>
      <c r="D758" s="18" t="s">
        <v>106</v>
      </c>
      <c r="E758" s="18" t="s">
        <v>25</v>
      </c>
      <c r="F758" s="20" t="n">
        <v>4205</v>
      </c>
      <c r="G758" s="20" t="n">
        <v>1063.87</v>
      </c>
      <c r="H758" s="18" t="n">
        <v>5</v>
      </c>
    </row>
    <row r="759" customFormat="false" ht="15" hidden="false" customHeight="true" outlineLevel="0" collapsed="false">
      <c r="A759" s="18" t="s">
        <v>794</v>
      </c>
      <c r="B759" s="19" t="n">
        <v>45372</v>
      </c>
      <c r="C759" s="18" t="s">
        <v>27</v>
      </c>
      <c r="D759" s="18" t="s">
        <v>31</v>
      </c>
      <c r="E759" s="18" t="s">
        <v>32</v>
      </c>
      <c r="F759" s="20" t="n">
        <v>339030</v>
      </c>
      <c r="G759" s="20" t="n">
        <v>52888.68</v>
      </c>
      <c r="H759" s="18" t="n">
        <v>5</v>
      </c>
    </row>
    <row r="760" customFormat="false" ht="15" hidden="false" customHeight="true" outlineLevel="0" collapsed="false">
      <c r="A760" s="18" t="s">
        <v>795</v>
      </c>
      <c r="B760" s="19" t="n">
        <v>45586</v>
      </c>
      <c r="C760" s="18" t="s">
        <v>19</v>
      </c>
      <c r="D760" s="18" t="s">
        <v>106</v>
      </c>
      <c r="E760" s="18" t="s">
        <v>25</v>
      </c>
      <c r="F760" s="20" t="n">
        <v>18752</v>
      </c>
      <c r="G760" s="20" t="n">
        <v>4931.78</v>
      </c>
      <c r="H760" s="18" t="n">
        <v>8</v>
      </c>
    </row>
    <row r="761" customFormat="false" ht="15" hidden="false" customHeight="true" outlineLevel="0" collapsed="false">
      <c r="A761" s="18" t="s">
        <v>796</v>
      </c>
      <c r="B761" s="19" t="n">
        <v>45392</v>
      </c>
      <c r="C761" s="18" t="s">
        <v>39</v>
      </c>
      <c r="D761" s="18" t="s">
        <v>86</v>
      </c>
      <c r="E761" s="18" t="s">
        <v>21</v>
      </c>
      <c r="F761" s="20" t="n">
        <v>213016</v>
      </c>
      <c r="G761" s="20" t="n">
        <v>52827.97</v>
      </c>
      <c r="H761" s="18" t="n">
        <v>8</v>
      </c>
    </row>
    <row r="762" customFormat="false" ht="15" hidden="false" customHeight="true" outlineLevel="0" collapsed="false">
      <c r="A762" s="18" t="s">
        <v>797</v>
      </c>
      <c r="B762" s="19" t="n">
        <v>45406</v>
      </c>
      <c r="C762" s="18" t="s">
        <v>41</v>
      </c>
      <c r="D762" s="18" t="s">
        <v>36</v>
      </c>
      <c r="E762" s="18" t="s">
        <v>25</v>
      </c>
      <c r="F762" s="20" t="n">
        <v>3944</v>
      </c>
      <c r="G762" s="20" t="n">
        <v>958.39</v>
      </c>
      <c r="H762" s="18" t="n">
        <v>1</v>
      </c>
    </row>
    <row r="763" customFormat="false" ht="15" hidden="false" customHeight="true" outlineLevel="0" collapsed="false">
      <c r="A763" s="18" t="s">
        <v>798</v>
      </c>
      <c r="B763" s="19" t="n">
        <v>45332</v>
      </c>
      <c r="C763" s="18" t="s">
        <v>23</v>
      </c>
      <c r="D763" s="18" t="s">
        <v>64</v>
      </c>
      <c r="E763" s="18" t="s">
        <v>32</v>
      </c>
      <c r="F763" s="20" t="n">
        <v>253792</v>
      </c>
      <c r="G763" s="20" t="n">
        <v>35784.67</v>
      </c>
      <c r="H763" s="18" t="n">
        <v>7</v>
      </c>
    </row>
    <row r="764" customFormat="false" ht="15" hidden="false" customHeight="true" outlineLevel="0" collapsed="false">
      <c r="A764" s="18" t="s">
        <v>799</v>
      </c>
      <c r="B764" s="19" t="n">
        <v>45626</v>
      </c>
      <c r="C764" s="18" t="s">
        <v>39</v>
      </c>
      <c r="D764" s="18" t="s">
        <v>86</v>
      </c>
      <c r="E764" s="18" t="s">
        <v>21</v>
      </c>
      <c r="F764" s="20" t="n">
        <v>44473</v>
      </c>
      <c r="G764" s="20" t="n">
        <v>6848.84</v>
      </c>
      <c r="H764" s="18" t="n">
        <v>1</v>
      </c>
    </row>
    <row r="765" customFormat="false" ht="15" hidden="false" customHeight="true" outlineLevel="0" collapsed="false">
      <c r="A765" s="18" t="s">
        <v>800</v>
      </c>
      <c r="B765" s="19" t="n">
        <v>45493</v>
      </c>
      <c r="C765" s="18" t="s">
        <v>19</v>
      </c>
      <c r="D765" s="18" t="s">
        <v>70</v>
      </c>
      <c r="E765" s="18" t="s">
        <v>21</v>
      </c>
      <c r="F765" s="20" t="n">
        <v>151288</v>
      </c>
      <c r="G765" s="20" t="n">
        <v>22693.2</v>
      </c>
      <c r="H765" s="18" t="n">
        <v>8</v>
      </c>
    </row>
    <row r="766" customFormat="false" ht="15" hidden="false" customHeight="true" outlineLevel="0" collapsed="false">
      <c r="A766" s="18" t="s">
        <v>801</v>
      </c>
      <c r="B766" s="19" t="n">
        <v>45542</v>
      </c>
      <c r="C766" s="18" t="s">
        <v>23</v>
      </c>
      <c r="D766" s="18" t="s">
        <v>86</v>
      </c>
      <c r="E766" s="18" t="s">
        <v>21</v>
      </c>
      <c r="F766" s="20" t="n">
        <v>128720</v>
      </c>
      <c r="G766" s="20" t="n">
        <v>21624.96</v>
      </c>
      <c r="H766" s="18" t="n">
        <v>8</v>
      </c>
    </row>
    <row r="767" customFormat="false" ht="15" hidden="false" customHeight="true" outlineLevel="0" collapsed="false">
      <c r="A767" s="18" t="s">
        <v>802</v>
      </c>
      <c r="B767" s="19" t="n">
        <v>45634</v>
      </c>
      <c r="C767" s="18" t="s">
        <v>41</v>
      </c>
      <c r="D767" s="18" t="s">
        <v>36</v>
      </c>
      <c r="E767" s="18" t="s">
        <v>25</v>
      </c>
      <c r="F767" s="20" t="n">
        <v>4878</v>
      </c>
      <c r="G767" s="20" t="n">
        <v>863.41</v>
      </c>
      <c r="H767" s="18" t="n">
        <v>1</v>
      </c>
    </row>
    <row r="768" customFormat="false" ht="15" hidden="false" customHeight="true" outlineLevel="0" collapsed="false">
      <c r="A768" s="18" t="s">
        <v>803</v>
      </c>
      <c r="B768" s="19" t="n">
        <v>45482</v>
      </c>
      <c r="C768" s="18" t="s">
        <v>19</v>
      </c>
      <c r="D768" s="18" t="s">
        <v>88</v>
      </c>
      <c r="E768" s="18" t="s">
        <v>50</v>
      </c>
      <c r="F768" s="20" t="n">
        <v>1561</v>
      </c>
      <c r="G768" s="20" t="n">
        <v>524.5</v>
      </c>
      <c r="H768" s="18" t="n">
        <v>7</v>
      </c>
    </row>
    <row r="769" customFormat="false" ht="15" hidden="false" customHeight="true" outlineLevel="0" collapsed="false">
      <c r="A769" s="18" t="s">
        <v>804</v>
      </c>
      <c r="B769" s="19" t="n">
        <v>45428</v>
      </c>
      <c r="C769" s="18" t="s">
        <v>19</v>
      </c>
      <c r="D769" s="18" t="s">
        <v>86</v>
      </c>
      <c r="E769" s="18" t="s">
        <v>21</v>
      </c>
      <c r="F769" s="20" t="n">
        <v>525440</v>
      </c>
      <c r="G769" s="20" t="n">
        <v>63578.24</v>
      </c>
      <c r="H769" s="18" t="n">
        <v>10</v>
      </c>
    </row>
    <row r="770" customFormat="false" ht="15" hidden="false" customHeight="true" outlineLevel="0" collapsed="false">
      <c r="A770" s="18" t="s">
        <v>805</v>
      </c>
      <c r="B770" s="19" t="n">
        <v>45490</v>
      </c>
      <c r="C770" s="18" t="s">
        <v>39</v>
      </c>
      <c r="D770" s="18" t="s">
        <v>58</v>
      </c>
      <c r="E770" s="18" t="s">
        <v>50</v>
      </c>
      <c r="F770" s="20" t="n">
        <v>539</v>
      </c>
      <c r="G770" s="20" t="n">
        <v>127.74</v>
      </c>
      <c r="H770" s="18" t="n">
        <v>7</v>
      </c>
    </row>
    <row r="771" customFormat="false" ht="15" hidden="false" customHeight="true" outlineLevel="0" collapsed="false">
      <c r="A771" s="18" t="s">
        <v>806</v>
      </c>
      <c r="B771" s="19" t="n">
        <v>45506</v>
      </c>
      <c r="C771" s="18" t="s">
        <v>39</v>
      </c>
      <c r="D771" s="18" t="s">
        <v>75</v>
      </c>
      <c r="E771" s="18" t="s">
        <v>29</v>
      </c>
      <c r="F771" s="20" t="n">
        <v>16380</v>
      </c>
      <c r="G771" s="20" t="n">
        <v>2669.94</v>
      </c>
      <c r="H771" s="18" t="n">
        <v>9</v>
      </c>
    </row>
    <row r="772" customFormat="false" ht="15" hidden="false" customHeight="true" outlineLevel="0" collapsed="false">
      <c r="A772" s="18" t="s">
        <v>807</v>
      </c>
      <c r="B772" s="19" t="n">
        <v>45575</v>
      </c>
      <c r="C772" s="18" t="s">
        <v>41</v>
      </c>
      <c r="D772" s="18" t="s">
        <v>62</v>
      </c>
      <c r="E772" s="18" t="s">
        <v>50</v>
      </c>
      <c r="F772" s="20" t="n">
        <v>880</v>
      </c>
      <c r="G772" s="20" t="n">
        <v>232.32</v>
      </c>
      <c r="H772" s="18" t="n">
        <v>10</v>
      </c>
    </row>
    <row r="773" customFormat="false" ht="15" hidden="false" customHeight="true" outlineLevel="0" collapsed="false">
      <c r="A773" s="18" t="s">
        <v>808</v>
      </c>
      <c r="B773" s="19" t="n">
        <v>45596</v>
      </c>
      <c r="C773" s="18" t="s">
        <v>41</v>
      </c>
      <c r="D773" s="18" t="s">
        <v>34</v>
      </c>
      <c r="E773" s="18" t="s">
        <v>25</v>
      </c>
      <c r="F773" s="20" t="n">
        <v>680</v>
      </c>
      <c r="G773" s="20" t="n">
        <v>108.8</v>
      </c>
      <c r="H773" s="18" t="n">
        <v>2</v>
      </c>
    </row>
    <row r="774" customFormat="false" ht="15" hidden="false" customHeight="true" outlineLevel="0" collapsed="false">
      <c r="A774" s="18" t="s">
        <v>809</v>
      </c>
      <c r="B774" s="19" t="n">
        <v>45342</v>
      </c>
      <c r="C774" s="18" t="s">
        <v>19</v>
      </c>
      <c r="D774" s="18" t="s">
        <v>24</v>
      </c>
      <c r="E774" s="18" t="s">
        <v>25</v>
      </c>
      <c r="F774" s="20" t="n">
        <v>2643</v>
      </c>
      <c r="G774" s="20" t="n">
        <v>417.59</v>
      </c>
      <c r="H774" s="18" t="n">
        <v>3</v>
      </c>
    </row>
    <row r="775" customFormat="false" ht="15" hidden="false" customHeight="true" outlineLevel="0" collapsed="false">
      <c r="A775" s="18" t="s">
        <v>810</v>
      </c>
      <c r="B775" s="19" t="n">
        <v>45521</v>
      </c>
      <c r="C775" s="18" t="s">
        <v>39</v>
      </c>
      <c r="D775" s="18" t="s">
        <v>44</v>
      </c>
      <c r="E775" s="18" t="s">
        <v>32</v>
      </c>
      <c r="F775" s="20" t="n">
        <v>9912</v>
      </c>
      <c r="G775" s="20" t="n">
        <v>921.82</v>
      </c>
      <c r="H775" s="18" t="n">
        <v>4</v>
      </c>
    </row>
    <row r="776" customFormat="false" ht="15" hidden="false" customHeight="true" outlineLevel="0" collapsed="false">
      <c r="A776" s="18" t="s">
        <v>811</v>
      </c>
      <c r="B776" s="19" t="n">
        <v>45373</v>
      </c>
      <c r="C776" s="18" t="s">
        <v>41</v>
      </c>
      <c r="D776" s="18" t="s">
        <v>93</v>
      </c>
      <c r="E776" s="18" t="s">
        <v>32</v>
      </c>
      <c r="F776" s="20" t="n">
        <v>126090</v>
      </c>
      <c r="G776" s="20" t="n">
        <v>19922.22</v>
      </c>
      <c r="H776" s="18" t="n">
        <v>10</v>
      </c>
    </row>
    <row r="777" customFormat="false" ht="15" hidden="false" customHeight="true" outlineLevel="0" collapsed="false">
      <c r="A777" s="18" t="s">
        <v>812</v>
      </c>
      <c r="B777" s="19" t="n">
        <v>45600</v>
      </c>
      <c r="C777" s="18" t="s">
        <v>27</v>
      </c>
      <c r="D777" s="18" t="s">
        <v>44</v>
      </c>
      <c r="E777" s="18" t="s">
        <v>32</v>
      </c>
      <c r="F777" s="20" t="n">
        <v>30232</v>
      </c>
      <c r="G777" s="20" t="n">
        <v>3779</v>
      </c>
      <c r="H777" s="18" t="n">
        <v>8</v>
      </c>
    </row>
    <row r="778" customFormat="false" ht="15" hidden="false" customHeight="true" outlineLevel="0" collapsed="false">
      <c r="A778" s="18" t="s">
        <v>813</v>
      </c>
      <c r="B778" s="19" t="n">
        <v>45574</v>
      </c>
      <c r="C778" s="18" t="s">
        <v>39</v>
      </c>
      <c r="D778" s="18" t="s">
        <v>49</v>
      </c>
      <c r="E778" s="18" t="s">
        <v>50</v>
      </c>
      <c r="F778" s="20" t="n">
        <v>392</v>
      </c>
      <c r="G778" s="20" t="n">
        <v>110.94</v>
      </c>
      <c r="H778" s="18" t="n">
        <v>8</v>
      </c>
    </row>
    <row r="779" customFormat="false" ht="15" hidden="false" customHeight="true" outlineLevel="0" collapsed="false">
      <c r="A779" s="18" t="s">
        <v>814</v>
      </c>
      <c r="B779" s="19" t="n">
        <v>45306</v>
      </c>
      <c r="C779" s="18" t="s">
        <v>27</v>
      </c>
      <c r="D779" s="18" t="s">
        <v>52</v>
      </c>
      <c r="E779" s="18" t="s">
        <v>32</v>
      </c>
      <c r="F779" s="20" t="n">
        <v>6765</v>
      </c>
      <c r="G779" s="20" t="n">
        <v>798.27</v>
      </c>
      <c r="H779" s="18" t="n">
        <v>5</v>
      </c>
    </row>
    <row r="780" customFormat="false" ht="15" hidden="false" customHeight="true" outlineLevel="0" collapsed="false">
      <c r="A780" s="18" t="s">
        <v>815</v>
      </c>
      <c r="B780" s="19" t="n">
        <v>45555</v>
      </c>
      <c r="C780" s="18" t="s">
        <v>41</v>
      </c>
      <c r="D780" s="18" t="s">
        <v>34</v>
      </c>
      <c r="E780" s="18" t="s">
        <v>25</v>
      </c>
      <c r="F780" s="20" t="n">
        <v>11214</v>
      </c>
      <c r="G780" s="20" t="n">
        <v>2612.86</v>
      </c>
      <c r="H780" s="18" t="n">
        <v>9</v>
      </c>
    </row>
    <row r="781" customFormat="false" ht="15" hidden="false" customHeight="true" outlineLevel="0" collapsed="false">
      <c r="A781" s="18" t="s">
        <v>816</v>
      </c>
      <c r="B781" s="19" t="n">
        <v>45551</v>
      </c>
      <c r="C781" s="18" t="s">
        <v>19</v>
      </c>
      <c r="D781" s="18" t="s">
        <v>34</v>
      </c>
      <c r="E781" s="18" t="s">
        <v>25</v>
      </c>
      <c r="F781" s="20" t="n">
        <v>6776</v>
      </c>
      <c r="G781" s="20" t="n">
        <v>1558.48</v>
      </c>
      <c r="H781" s="18" t="n">
        <v>7</v>
      </c>
    </row>
    <row r="782" customFormat="false" ht="15" hidden="false" customHeight="true" outlineLevel="0" collapsed="false">
      <c r="A782" s="18" t="s">
        <v>817</v>
      </c>
      <c r="B782" s="19" t="n">
        <v>45390</v>
      </c>
      <c r="C782" s="18" t="s">
        <v>27</v>
      </c>
      <c r="D782" s="18" t="s">
        <v>70</v>
      </c>
      <c r="E782" s="18" t="s">
        <v>21</v>
      </c>
      <c r="F782" s="20" t="n">
        <v>191615</v>
      </c>
      <c r="G782" s="20" t="n">
        <v>24718.33</v>
      </c>
      <c r="H782" s="18" t="n">
        <v>5</v>
      </c>
    </row>
    <row r="783" customFormat="false" ht="15" hidden="false" customHeight="true" outlineLevel="0" collapsed="false">
      <c r="A783" s="18" t="s">
        <v>818</v>
      </c>
      <c r="B783" s="19" t="n">
        <v>45542</v>
      </c>
      <c r="C783" s="18" t="s">
        <v>41</v>
      </c>
      <c r="D783" s="18" t="s">
        <v>28</v>
      </c>
      <c r="E783" s="18" t="s">
        <v>29</v>
      </c>
      <c r="F783" s="20" t="n">
        <v>19640</v>
      </c>
      <c r="G783" s="20" t="n">
        <v>2847.8</v>
      </c>
      <c r="H783" s="18" t="n">
        <v>8</v>
      </c>
    </row>
    <row r="784" customFormat="false" ht="15" hidden="false" customHeight="true" outlineLevel="0" collapsed="false">
      <c r="A784" s="18" t="s">
        <v>167</v>
      </c>
      <c r="B784" s="19" t="n">
        <v>45617</v>
      </c>
      <c r="C784" s="18" t="s">
        <v>41</v>
      </c>
      <c r="D784" s="18" t="s">
        <v>24</v>
      </c>
      <c r="E784" s="18" t="s">
        <v>25</v>
      </c>
      <c r="F784" s="20" t="n">
        <v>4572</v>
      </c>
      <c r="G784" s="20" t="n">
        <v>818.39</v>
      </c>
      <c r="H784" s="18" t="n">
        <v>2</v>
      </c>
    </row>
    <row r="785" customFormat="false" ht="15" hidden="false" customHeight="true" outlineLevel="0" collapsed="false">
      <c r="A785" s="18" t="s">
        <v>819</v>
      </c>
      <c r="B785" s="19" t="n">
        <v>45404</v>
      </c>
      <c r="C785" s="18" t="s">
        <v>39</v>
      </c>
      <c r="D785" s="18" t="s">
        <v>24</v>
      </c>
      <c r="E785" s="18" t="s">
        <v>25</v>
      </c>
      <c r="F785" s="20" t="n">
        <v>8664</v>
      </c>
      <c r="G785" s="20" t="n">
        <v>2954.42</v>
      </c>
      <c r="H785" s="18" t="n">
        <v>6</v>
      </c>
    </row>
    <row r="786" customFormat="false" ht="15" hidden="false" customHeight="true" outlineLevel="0" collapsed="false">
      <c r="A786" s="18" t="s">
        <v>820</v>
      </c>
      <c r="B786" s="19" t="n">
        <v>45511</v>
      </c>
      <c r="C786" s="18" t="s">
        <v>19</v>
      </c>
      <c r="D786" s="18" t="s">
        <v>72</v>
      </c>
      <c r="E786" s="18" t="s">
        <v>29</v>
      </c>
      <c r="F786" s="20" t="n">
        <v>35655</v>
      </c>
      <c r="G786" s="20" t="n">
        <v>4135.98</v>
      </c>
      <c r="H786" s="18" t="n">
        <v>5</v>
      </c>
    </row>
    <row r="787" customFormat="false" ht="15" hidden="false" customHeight="true" outlineLevel="0" collapsed="false">
      <c r="A787" s="18" t="s">
        <v>821</v>
      </c>
      <c r="B787" s="19" t="n">
        <v>45402</v>
      </c>
      <c r="C787" s="18" t="s">
        <v>27</v>
      </c>
      <c r="D787" s="18" t="s">
        <v>120</v>
      </c>
      <c r="E787" s="18" t="s">
        <v>29</v>
      </c>
      <c r="F787" s="20" t="n">
        <v>111128</v>
      </c>
      <c r="G787" s="20" t="n">
        <v>13001.98</v>
      </c>
      <c r="H787" s="18" t="n">
        <v>8</v>
      </c>
    </row>
    <row r="788" customFormat="false" ht="15" hidden="false" customHeight="true" outlineLevel="0" collapsed="false">
      <c r="A788" s="18" t="s">
        <v>822</v>
      </c>
      <c r="B788" s="19" t="n">
        <v>45595</v>
      </c>
      <c r="C788" s="18" t="s">
        <v>23</v>
      </c>
      <c r="D788" s="18" t="s">
        <v>93</v>
      </c>
      <c r="E788" s="18" t="s">
        <v>32</v>
      </c>
      <c r="F788" s="20" t="n">
        <v>36876</v>
      </c>
      <c r="G788" s="20" t="n">
        <v>5236.39</v>
      </c>
      <c r="H788" s="18" t="n">
        <v>3</v>
      </c>
    </row>
    <row r="789" customFormat="false" ht="15" hidden="false" customHeight="true" outlineLevel="0" collapsed="false">
      <c r="A789" s="18" t="s">
        <v>823</v>
      </c>
      <c r="B789" s="19" t="n">
        <v>45317</v>
      </c>
      <c r="C789" s="18" t="s">
        <v>27</v>
      </c>
      <c r="D789" s="18" t="s">
        <v>46</v>
      </c>
      <c r="E789" s="18" t="s">
        <v>29</v>
      </c>
      <c r="F789" s="20" t="n">
        <v>103887</v>
      </c>
      <c r="G789" s="20" t="n">
        <v>11947.01</v>
      </c>
      <c r="H789" s="18" t="n">
        <v>9</v>
      </c>
    </row>
    <row r="790" customFormat="false" ht="15" hidden="false" customHeight="true" outlineLevel="0" collapsed="false">
      <c r="A790" s="18" t="s">
        <v>824</v>
      </c>
      <c r="B790" s="19" t="n">
        <v>45350</v>
      </c>
      <c r="C790" s="18" t="s">
        <v>27</v>
      </c>
      <c r="D790" s="18" t="s">
        <v>52</v>
      </c>
      <c r="E790" s="18" t="s">
        <v>32</v>
      </c>
      <c r="F790" s="20" t="n">
        <v>14646</v>
      </c>
      <c r="G790" s="20" t="n">
        <v>2533.76</v>
      </c>
      <c r="H790" s="18" t="n">
        <v>3</v>
      </c>
    </row>
    <row r="791" customFormat="false" ht="15" hidden="false" customHeight="true" outlineLevel="0" collapsed="false">
      <c r="A791" s="18" t="s">
        <v>825</v>
      </c>
      <c r="B791" s="19" t="n">
        <v>45342</v>
      </c>
      <c r="C791" s="18" t="s">
        <v>39</v>
      </c>
      <c r="D791" s="18" t="s">
        <v>75</v>
      </c>
      <c r="E791" s="18" t="s">
        <v>29</v>
      </c>
      <c r="F791" s="20" t="n">
        <v>7532</v>
      </c>
      <c r="G791" s="20" t="n">
        <v>1250.31</v>
      </c>
      <c r="H791" s="18" t="n">
        <v>4</v>
      </c>
    </row>
    <row r="792" customFormat="false" ht="15" hidden="false" customHeight="true" outlineLevel="0" collapsed="false">
      <c r="A792" s="18" t="s">
        <v>826</v>
      </c>
      <c r="B792" s="19" t="n">
        <v>45377</v>
      </c>
      <c r="C792" s="18" t="s">
        <v>27</v>
      </c>
      <c r="D792" s="18" t="s">
        <v>96</v>
      </c>
      <c r="E792" s="18" t="s">
        <v>50</v>
      </c>
      <c r="F792" s="20" t="n">
        <v>483</v>
      </c>
      <c r="G792" s="20" t="n">
        <v>149.25</v>
      </c>
      <c r="H792" s="18" t="n">
        <v>7</v>
      </c>
    </row>
    <row r="793" customFormat="false" ht="15" hidden="false" customHeight="true" outlineLevel="0" collapsed="false">
      <c r="A793" s="18" t="s">
        <v>827</v>
      </c>
      <c r="B793" s="19" t="n">
        <v>45410</v>
      </c>
      <c r="C793" s="18" t="s">
        <v>41</v>
      </c>
      <c r="D793" s="18" t="s">
        <v>70</v>
      </c>
      <c r="E793" s="18" t="s">
        <v>21</v>
      </c>
      <c r="F793" s="20" t="n">
        <v>351980</v>
      </c>
      <c r="G793" s="20" t="n">
        <v>70396</v>
      </c>
      <c r="H793" s="18" t="n">
        <v>10</v>
      </c>
    </row>
    <row r="794" customFormat="false" ht="15" hidden="false" customHeight="true" outlineLevel="0" collapsed="false">
      <c r="A794" s="18" t="s">
        <v>828</v>
      </c>
      <c r="B794" s="19" t="n">
        <v>45482</v>
      </c>
      <c r="C794" s="18" t="s">
        <v>23</v>
      </c>
      <c r="D794" s="18" t="s">
        <v>52</v>
      </c>
      <c r="E794" s="18" t="s">
        <v>32</v>
      </c>
      <c r="F794" s="20" t="n">
        <v>69948</v>
      </c>
      <c r="G794" s="20" t="n">
        <v>6435.22</v>
      </c>
      <c r="H794" s="18" t="n">
        <v>9</v>
      </c>
    </row>
    <row r="795" customFormat="false" ht="15" hidden="false" customHeight="true" outlineLevel="0" collapsed="false">
      <c r="A795" s="18" t="s">
        <v>549</v>
      </c>
      <c r="B795" s="19" t="n">
        <v>45649</v>
      </c>
      <c r="C795" s="18" t="s">
        <v>19</v>
      </c>
      <c r="D795" s="18" t="s">
        <v>46</v>
      </c>
      <c r="E795" s="18" t="s">
        <v>29</v>
      </c>
      <c r="F795" s="20" t="n">
        <v>9261</v>
      </c>
      <c r="G795" s="20" t="n">
        <v>1805.89</v>
      </c>
      <c r="H795" s="18" t="n">
        <v>1</v>
      </c>
    </row>
    <row r="796" customFormat="false" ht="15" hidden="false" customHeight="true" outlineLevel="0" collapsed="false">
      <c r="A796" s="18" t="s">
        <v>829</v>
      </c>
      <c r="B796" s="19" t="n">
        <v>45487</v>
      </c>
      <c r="C796" s="18" t="s">
        <v>19</v>
      </c>
      <c r="D796" s="18" t="s">
        <v>46</v>
      </c>
      <c r="E796" s="18" t="s">
        <v>29</v>
      </c>
      <c r="F796" s="20" t="n">
        <v>51000</v>
      </c>
      <c r="G796" s="20" t="n">
        <v>7293</v>
      </c>
      <c r="H796" s="18" t="n">
        <v>10</v>
      </c>
    </row>
    <row r="797" customFormat="false" ht="15" hidden="false" customHeight="true" outlineLevel="0" collapsed="false">
      <c r="A797" s="18" t="s">
        <v>502</v>
      </c>
      <c r="B797" s="19" t="n">
        <v>45461</v>
      </c>
      <c r="C797" s="18" t="s">
        <v>23</v>
      </c>
      <c r="D797" s="18" t="s">
        <v>70</v>
      </c>
      <c r="E797" s="18" t="s">
        <v>21</v>
      </c>
      <c r="F797" s="20" t="n">
        <v>67168</v>
      </c>
      <c r="G797" s="20" t="n">
        <v>15918.82</v>
      </c>
      <c r="H797" s="18" t="n">
        <v>2</v>
      </c>
    </row>
    <row r="798" customFormat="false" ht="15" hidden="false" customHeight="true" outlineLevel="0" collapsed="false">
      <c r="A798" s="18" t="s">
        <v>830</v>
      </c>
      <c r="B798" s="19" t="n">
        <v>45525</v>
      </c>
      <c r="C798" s="18" t="s">
        <v>19</v>
      </c>
      <c r="D798" s="18" t="s">
        <v>64</v>
      </c>
      <c r="E798" s="18" t="s">
        <v>32</v>
      </c>
      <c r="F798" s="20" t="n">
        <v>517940</v>
      </c>
      <c r="G798" s="20" t="n">
        <v>76137.18</v>
      </c>
      <c r="H798" s="18" t="n">
        <v>10</v>
      </c>
    </row>
    <row r="799" customFormat="false" ht="15" hidden="false" customHeight="true" outlineLevel="0" collapsed="false">
      <c r="A799" s="18" t="s">
        <v>831</v>
      </c>
      <c r="B799" s="19" t="n">
        <v>45456</v>
      </c>
      <c r="C799" s="18" t="s">
        <v>39</v>
      </c>
      <c r="D799" s="18" t="s">
        <v>70</v>
      </c>
      <c r="E799" s="18" t="s">
        <v>21</v>
      </c>
      <c r="F799" s="20" t="n">
        <v>58245</v>
      </c>
      <c r="G799" s="20" t="n">
        <v>10833.57</v>
      </c>
      <c r="H799" s="18" t="n">
        <v>5</v>
      </c>
    </row>
    <row r="800" customFormat="false" ht="15" hidden="false" customHeight="true" outlineLevel="0" collapsed="false">
      <c r="A800" s="18" t="s">
        <v>832</v>
      </c>
      <c r="B800" s="19" t="n">
        <v>45612</v>
      </c>
      <c r="C800" s="18" t="s">
        <v>23</v>
      </c>
      <c r="D800" s="18" t="s">
        <v>34</v>
      </c>
      <c r="E800" s="18" t="s">
        <v>25</v>
      </c>
      <c r="F800" s="20" t="n">
        <v>6520</v>
      </c>
      <c r="G800" s="20" t="n">
        <v>2008.16</v>
      </c>
      <c r="H800" s="18" t="n">
        <v>5</v>
      </c>
    </row>
    <row r="801" customFormat="false" ht="15" hidden="false" customHeight="true" outlineLevel="0" collapsed="false">
      <c r="A801" s="18" t="s">
        <v>833</v>
      </c>
      <c r="B801" s="19" t="n">
        <v>45508</v>
      </c>
      <c r="C801" s="18" t="s">
        <v>27</v>
      </c>
      <c r="D801" s="18" t="s">
        <v>55</v>
      </c>
      <c r="E801" s="18" t="s">
        <v>32</v>
      </c>
      <c r="F801" s="20" t="n">
        <v>347256</v>
      </c>
      <c r="G801" s="20" t="n">
        <v>47921.33</v>
      </c>
      <c r="H801" s="18" t="n">
        <v>8</v>
      </c>
    </row>
    <row r="802" customFormat="false" ht="15" hidden="false" customHeight="true" outlineLevel="0" collapsed="false">
      <c r="A802" s="18" t="s">
        <v>834</v>
      </c>
      <c r="B802" s="19" t="n">
        <v>45647</v>
      </c>
      <c r="C802" s="18" t="s">
        <v>39</v>
      </c>
      <c r="D802" s="18" t="s">
        <v>28</v>
      </c>
      <c r="E802" s="18" t="s">
        <v>29</v>
      </c>
      <c r="F802" s="20" t="n">
        <v>37982</v>
      </c>
      <c r="G802" s="20" t="n">
        <v>6077.12</v>
      </c>
      <c r="H802" s="18" t="n">
        <v>7</v>
      </c>
    </row>
    <row r="803" customFormat="false" ht="15" hidden="false" customHeight="true" outlineLevel="0" collapsed="false">
      <c r="A803" s="18" t="s">
        <v>835</v>
      </c>
      <c r="B803" s="19" t="n">
        <v>45596</v>
      </c>
      <c r="C803" s="18" t="s">
        <v>27</v>
      </c>
      <c r="D803" s="18" t="s">
        <v>44</v>
      </c>
      <c r="E803" s="18" t="s">
        <v>32</v>
      </c>
      <c r="F803" s="20" t="n">
        <v>45656</v>
      </c>
      <c r="G803" s="20" t="n">
        <v>6163.56</v>
      </c>
      <c r="H803" s="18" t="n">
        <v>8</v>
      </c>
    </row>
    <row r="804" customFormat="false" ht="15" hidden="false" customHeight="true" outlineLevel="0" collapsed="false">
      <c r="A804" s="18" t="s">
        <v>836</v>
      </c>
      <c r="B804" s="19" t="n">
        <v>45329</v>
      </c>
      <c r="C804" s="18" t="s">
        <v>27</v>
      </c>
      <c r="D804" s="18" t="s">
        <v>44</v>
      </c>
      <c r="E804" s="18" t="s">
        <v>32</v>
      </c>
      <c r="F804" s="20" t="n">
        <v>12952</v>
      </c>
      <c r="G804" s="20" t="n">
        <v>2085.27</v>
      </c>
      <c r="H804" s="18" t="n">
        <v>8</v>
      </c>
    </row>
    <row r="805" customFormat="false" ht="15" hidden="false" customHeight="true" outlineLevel="0" collapsed="false">
      <c r="A805" s="18" t="s">
        <v>837</v>
      </c>
      <c r="B805" s="19" t="n">
        <v>45439</v>
      </c>
      <c r="C805" s="18" t="s">
        <v>41</v>
      </c>
      <c r="D805" s="18" t="s">
        <v>88</v>
      </c>
      <c r="E805" s="18" t="s">
        <v>50</v>
      </c>
      <c r="F805" s="20" t="n">
        <v>2520</v>
      </c>
      <c r="G805" s="20" t="n">
        <v>889.56</v>
      </c>
      <c r="H805" s="18" t="n">
        <v>9</v>
      </c>
    </row>
    <row r="806" customFormat="false" ht="15" hidden="false" customHeight="true" outlineLevel="0" collapsed="false">
      <c r="A806" s="18" t="s">
        <v>838</v>
      </c>
      <c r="B806" s="19" t="n">
        <v>45436</v>
      </c>
      <c r="C806" s="18" t="s">
        <v>27</v>
      </c>
      <c r="D806" s="18" t="s">
        <v>28</v>
      </c>
      <c r="E806" s="18" t="s">
        <v>29</v>
      </c>
      <c r="F806" s="20" t="n">
        <v>48861</v>
      </c>
      <c r="G806" s="20" t="n">
        <v>9625.62</v>
      </c>
      <c r="H806" s="18" t="n">
        <v>9</v>
      </c>
    </row>
    <row r="807" customFormat="false" ht="15" hidden="false" customHeight="true" outlineLevel="0" collapsed="false">
      <c r="A807" s="18" t="s">
        <v>839</v>
      </c>
      <c r="B807" s="19" t="n">
        <v>45624</v>
      </c>
      <c r="C807" s="18" t="s">
        <v>41</v>
      </c>
      <c r="D807" s="18" t="s">
        <v>52</v>
      </c>
      <c r="E807" s="18" t="s">
        <v>32</v>
      </c>
      <c r="F807" s="20" t="n">
        <v>26700</v>
      </c>
      <c r="G807" s="20" t="n">
        <v>2776.8</v>
      </c>
      <c r="H807" s="18" t="n">
        <v>6</v>
      </c>
    </row>
    <row r="808" customFormat="false" ht="15" hidden="false" customHeight="true" outlineLevel="0" collapsed="false">
      <c r="A808" s="18" t="s">
        <v>840</v>
      </c>
      <c r="B808" s="19" t="n">
        <v>45652</v>
      </c>
      <c r="C808" s="18" t="s">
        <v>19</v>
      </c>
      <c r="D808" s="18" t="s">
        <v>106</v>
      </c>
      <c r="E808" s="18" t="s">
        <v>25</v>
      </c>
      <c r="F808" s="20"/>
      <c r="G808" s="20" t="n">
        <v>899.58</v>
      </c>
      <c r="H808" s="18" t="n">
        <v>2</v>
      </c>
    </row>
    <row r="809" customFormat="false" ht="15" hidden="false" customHeight="true" outlineLevel="0" collapsed="false">
      <c r="A809" s="18" t="s">
        <v>841</v>
      </c>
      <c r="B809" s="19" t="n">
        <v>45432</v>
      </c>
      <c r="C809" s="18" t="s">
        <v>41</v>
      </c>
      <c r="D809" s="18" t="s">
        <v>75</v>
      </c>
      <c r="E809" s="18" t="s">
        <v>29</v>
      </c>
      <c r="F809" s="20" t="n">
        <v>10950</v>
      </c>
      <c r="G809" s="20" t="n">
        <v>1182.6</v>
      </c>
      <c r="H809" s="18" t="n">
        <v>6</v>
      </c>
    </row>
    <row r="810" customFormat="false" ht="15" hidden="false" customHeight="true" outlineLevel="0" collapsed="false">
      <c r="A810" s="18" t="s">
        <v>842</v>
      </c>
      <c r="B810" s="19" t="n">
        <v>45593</v>
      </c>
      <c r="C810" s="18" t="s">
        <v>39</v>
      </c>
      <c r="D810" s="18" t="s">
        <v>72</v>
      </c>
      <c r="E810" s="18" t="s">
        <v>29</v>
      </c>
      <c r="F810" s="20" t="n">
        <v>11342</v>
      </c>
      <c r="G810" s="20" t="n">
        <v>2064.24</v>
      </c>
      <c r="H810" s="18" t="n">
        <v>1</v>
      </c>
    </row>
    <row r="811" customFormat="false" ht="15" hidden="false" customHeight="true" outlineLevel="0" collapsed="false">
      <c r="A811" s="18" t="s">
        <v>843</v>
      </c>
      <c r="B811" s="19" t="n">
        <v>45506</v>
      </c>
      <c r="C811" s="18" t="s">
        <v>23</v>
      </c>
      <c r="D811" s="18" t="s">
        <v>34</v>
      </c>
      <c r="E811" s="18" t="s">
        <v>25</v>
      </c>
      <c r="F811" s="20" t="n">
        <v>11776</v>
      </c>
      <c r="G811" s="20" t="n">
        <v>3838.98</v>
      </c>
      <c r="H811" s="18" t="n">
        <v>8</v>
      </c>
    </row>
    <row r="812" customFormat="false" ht="15" hidden="false" customHeight="true" outlineLevel="0" collapsed="false">
      <c r="A812" s="18" t="s">
        <v>844</v>
      </c>
      <c r="B812" s="19" t="n">
        <v>45374</v>
      </c>
      <c r="C812" s="18" t="s">
        <v>41</v>
      </c>
      <c r="D812" s="18" t="s">
        <v>20</v>
      </c>
      <c r="E812" s="18" t="s">
        <v>21</v>
      </c>
      <c r="F812" s="20" t="n">
        <v>86058</v>
      </c>
      <c r="G812" s="20" t="n">
        <v>19104.88</v>
      </c>
      <c r="H812" s="18" t="n">
        <v>9</v>
      </c>
    </row>
    <row r="813" customFormat="false" ht="15" hidden="false" customHeight="true" outlineLevel="0" collapsed="false">
      <c r="A813" s="18" t="s">
        <v>845</v>
      </c>
      <c r="B813" s="19" t="n">
        <v>45575</v>
      </c>
      <c r="C813" s="18" t="s">
        <v>27</v>
      </c>
      <c r="D813" s="18" t="s">
        <v>31</v>
      </c>
      <c r="E813" s="18" t="s">
        <v>32</v>
      </c>
      <c r="F813" s="20" t="n">
        <v>288906</v>
      </c>
      <c r="G813" s="20" t="n">
        <v>31490.75</v>
      </c>
      <c r="H813" s="18" t="n">
        <v>6</v>
      </c>
    </row>
    <row r="814" customFormat="false" ht="15" hidden="false" customHeight="true" outlineLevel="0" collapsed="false">
      <c r="A814" s="18" t="s">
        <v>846</v>
      </c>
      <c r="B814" s="19" t="n">
        <v>45359</v>
      </c>
      <c r="C814" s="18" t="s">
        <v>23</v>
      </c>
      <c r="D814" s="18" t="s">
        <v>58</v>
      </c>
      <c r="E814" s="18" t="s">
        <v>50</v>
      </c>
      <c r="F814" s="20" t="n">
        <v>846</v>
      </c>
      <c r="G814" s="20" t="n">
        <v>324.02</v>
      </c>
      <c r="H814" s="18" t="n">
        <v>9</v>
      </c>
    </row>
    <row r="815" customFormat="false" ht="15" hidden="false" customHeight="true" outlineLevel="0" collapsed="false">
      <c r="A815" s="18" t="s">
        <v>847</v>
      </c>
      <c r="B815" s="19" t="n">
        <v>45570</v>
      </c>
      <c r="C815" s="18" t="s">
        <v>41</v>
      </c>
      <c r="D815" s="18" t="s">
        <v>88</v>
      </c>
      <c r="E815" s="18" t="s">
        <v>50</v>
      </c>
      <c r="F815" s="20" t="n">
        <v>1770</v>
      </c>
      <c r="G815" s="20" t="n">
        <v>546.93</v>
      </c>
      <c r="H815" s="18" t="n">
        <v>6</v>
      </c>
    </row>
    <row r="816" customFormat="false" ht="15" hidden="false" customHeight="true" outlineLevel="0" collapsed="false">
      <c r="A816" s="18" t="s">
        <v>848</v>
      </c>
      <c r="B816" s="19" t="n">
        <v>45655</v>
      </c>
      <c r="C816" s="18" t="s">
        <v>19</v>
      </c>
      <c r="D816" s="18" t="s">
        <v>49</v>
      </c>
      <c r="E816" s="18" t="s">
        <v>50</v>
      </c>
      <c r="F816" s="20" t="n">
        <v>448</v>
      </c>
      <c r="G816" s="20" t="n">
        <v>130.82</v>
      </c>
      <c r="H816" s="18" t="n">
        <v>7</v>
      </c>
    </row>
    <row r="817" customFormat="false" ht="15" hidden="false" customHeight="true" outlineLevel="0" collapsed="false">
      <c r="A817" s="18" t="s">
        <v>849</v>
      </c>
      <c r="B817" s="19" t="n">
        <v>45316</v>
      </c>
      <c r="C817" s="18" t="s">
        <v>41</v>
      </c>
      <c r="D817" s="18" t="s">
        <v>86</v>
      </c>
      <c r="E817" s="18" t="s">
        <v>21</v>
      </c>
      <c r="F817" s="20" t="n">
        <v>433264</v>
      </c>
      <c r="G817" s="20" t="n">
        <v>101817.04</v>
      </c>
      <c r="H817" s="18" t="n">
        <v>8</v>
      </c>
    </row>
    <row r="818" customFormat="false" ht="15" hidden="false" customHeight="true" outlineLevel="0" collapsed="false">
      <c r="A818" s="18" t="s">
        <v>850</v>
      </c>
      <c r="B818" s="19" t="n">
        <v>45515</v>
      </c>
      <c r="C818" s="18" t="s">
        <v>23</v>
      </c>
      <c r="D818" s="18" t="s">
        <v>83</v>
      </c>
      <c r="E818" s="18" t="s">
        <v>21</v>
      </c>
      <c r="F818" s="20" t="n">
        <v>39132</v>
      </c>
      <c r="G818" s="20" t="n">
        <v>8922.1</v>
      </c>
      <c r="H818" s="18" t="n">
        <v>6</v>
      </c>
    </row>
    <row r="819" customFormat="false" ht="15" hidden="false" customHeight="true" outlineLevel="0" collapsed="false">
      <c r="A819" s="18" t="s">
        <v>851</v>
      </c>
      <c r="B819" s="19" t="n">
        <v>45485</v>
      </c>
      <c r="C819" s="18" t="s">
        <v>27</v>
      </c>
      <c r="D819" s="18" t="s">
        <v>55</v>
      </c>
      <c r="E819" s="18" t="s">
        <v>32</v>
      </c>
      <c r="F819" s="20" t="n">
        <v>186435</v>
      </c>
      <c r="G819" s="20" t="n">
        <v>27033.07</v>
      </c>
      <c r="H819" s="18" t="n">
        <v>9</v>
      </c>
    </row>
    <row r="820" customFormat="false" ht="15" hidden="false" customHeight="true" outlineLevel="0" collapsed="false">
      <c r="A820" s="18" t="s">
        <v>852</v>
      </c>
      <c r="B820" s="19" t="n">
        <v>45597</v>
      </c>
      <c r="C820" s="18" t="s">
        <v>41</v>
      </c>
      <c r="D820" s="18" t="s">
        <v>88</v>
      </c>
      <c r="E820" s="18" t="s">
        <v>50</v>
      </c>
      <c r="F820" s="20" t="n">
        <v>2485</v>
      </c>
      <c r="G820" s="20" t="n">
        <v>991.52</v>
      </c>
      <c r="H820" s="18" t="n">
        <v>7</v>
      </c>
    </row>
    <row r="821" customFormat="false" ht="15" hidden="false" customHeight="true" outlineLevel="0" collapsed="false">
      <c r="A821" s="18" t="s">
        <v>853</v>
      </c>
      <c r="B821" s="19" t="n">
        <v>45455</v>
      </c>
      <c r="C821" s="18" t="s">
        <v>19</v>
      </c>
      <c r="D821" s="18" t="s">
        <v>88</v>
      </c>
      <c r="E821" s="18" t="s">
        <v>50</v>
      </c>
      <c r="F821" s="20" t="n">
        <v>717</v>
      </c>
      <c r="G821" s="20" t="n">
        <v>217.25</v>
      </c>
      <c r="H821" s="18" t="n">
        <v>3</v>
      </c>
    </row>
    <row r="822" customFormat="false" ht="15" hidden="false" customHeight="true" outlineLevel="0" collapsed="false">
      <c r="A822" s="18" t="s">
        <v>854</v>
      </c>
      <c r="B822" s="19" t="n">
        <v>45405</v>
      </c>
      <c r="C822" s="18" t="s">
        <v>19</v>
      </c>
      <c r="D822" s="18" t="s">
        <v>36</v>
      </c>
      <c r="E822" s="18" t="s">
        <v>25</v>
      </c>
      <c r="F822" s="20" t="n">
        <v>6375</v>
      </c>
      <c r="G822" s="20" t="n">
        <v>1606.5</v>
      </c>
      <c r="H822" s="18" t="n">
        <v>3</v>
      </c>
    </row>
    <row r="823" customFormat="false" ht="15" hidden="false" customHeight="true" outlineLevel="0" collapsed="false">
      <c r="A823" s="18" t="s">
        <v>855</v>
      </c>
      <c r="B823" s="19" t="n">
        <v>45299</v>
      </c>
      <c r="C823" s="18" t="s">
        <v>19</v>
      </c>
      <c r="D823" s="18" t="s">
        <v>20</v>
      </c>
      <c r="E823" s="18" t="s">
        <v>21</v>
      </c>
      <c r="F823" s="20" t="n">
        <v>3990</v>
      </c>
      <c r="G823" s="20" t="n">
        <v>969.57</v>
      </c>
      <c r="H823" s="18" t="n">
        <v>1</v>
      </c>
    </row>
    <row r="824" customFormat="false" ht="15" hidden="false" customHeight="true" outlineLevel="0" collapsed="false">
      <c r="A824" s="18" t="s">
        <v>856</v>
      </c>
      <c r="B824" s="19" t="n">
        <v>45450</v>
      </c>
      <c r="C824" s="18" t="s">
        <v>41</v>
      </c>
      <c r="D824" s="18" t="s">
        <v>28</v>
      </c>
      <c r="E824" s="18" t="s">
        <v>29</v>
      </c>
      <c r="F824" s="20" t="n">
        <v>13088</v>
      </c>
      <c r="G824" s="20" t="n">
        <v>2015.55</v>
      </c>
      <c r="H824" s="18" t="n">
        <v>4</v>
      </c>
    </row>
    <row r="825" customFormat="false" ht="15" hidden="false" customHeight="true" outlineLevel="0" collapsed="false">
      <c r="A825" s="18" t="s">
        <v>857</v>
      </c>
      <c r="B825" s="19" t="n">
        <v>45525</v>
      </c>
      <c r="C825" s="18" t="s">
        <v>39</v>
      </c>
      <c r="D825" s="18" t="s">
        <v>120</v>
      </c>
      <c r="E825" s="18" t="s">
        <v>29</v>
      </c>
      <c r="F825" s="20" t="n">
        <v>74610</v>
      </c>
      <c r="G825" s="20" t="n">
        <v>9923.13</v>
      </c>
      <c r="H825" s="18" t="n">
        <v>9</v>
      </c>
    </row>
    <row r="826" customFormat="false" ht="15" hidden="false" customHeight="true" outlineLevel="0" collapsed="false">
      <c r="A826" s="18" t="s">
        <v>858</v>
      </c>
      <c r="B826" s="19" t="n">
        <v>45605</v>
      </c>
      <c r="C826" s="18" t="s">
        <v>19</v>
      </c>
      <c r="D826" s="18" t="s">
        <v>44</v>
      </c>
      <c r="E826" s="18" t="s">
        <v>32</v>
      </c>
      <c r="F826" s="20" t="n">
        <v>41650</v>
      </c>
      <c r="G826" s="20" t="n">
        <v>6414.1</v>
      </c>
      <c r="H826" s="18" t="n">
        <v>7</v>
      </c>
    </row>
    <row r="827" customFormat="false" ht="15" hidden="false" customHeight="true" outlineLevel="0" collapsed="false">
      <c r="A827" s="18" t="s">
        <v>859</v>
      </c>
      <c r="B827" s="19" t="n">
        <v>45380</v>
      </c>
      <c r="C827" s="18" t="s">
        <v>23</v>
      </c>
      <c r="D827" s="18" t="s">
        <v>93</v>
      </c>
      <c r="E827" s="18" t="s">
        <v>32</v>
      </c>
      <c r="F827" s="20" t="n">
        <v>8804</v>
      </c>
      <c r="G827" s="20" t="n">
        <v>1540.7</v>
      </c>
      <c r="H827" s="18" t="n">
        <v>2</v>
      </c>
    </row>
    <row r="828" customFormat="false" ht="15" hidden="false" customHeight="true" outlineLevel="0" collapsed="false">
      <c r="A828" s="18" t="s">
        <v>860</v>
      </c>
      <c r="B828" s="19" t="n">
        <v>45457</v>
      </c>
      <c r="C828" s="18" t="s">
        <v>39</v>
      </c>
      <c r="D828" s="18" t="s">
        <v>58</v>
      </c>
      <c r="E828" s="18" t="s">
        <v>50</v>
      </c>
      <c r="F828" s="20" t="n">
        <v>1296</v>
      </c>
      <c r="G828" s="20" t="n">
        <v>333.07</v>
      </c>
      <c r="H828" s="18" t="n">
        <v>9</v>
      </c>
    </row>
    <row r="829" customFormat="false" ht="15" hidden="false" customHeight="true" outlineLevel="0" collapsed="false">
      <c r="A829" s="18" t="s">
        <v>861</v>
      </c>
      <c r="B829" s="19" t="n">
        <v>45629</v>
      </c>
      <c r="C829" s="18" t="s">
        <v>39</v>
      </c>
      <c r="D829" s="18" t="s">
        <v>31</v>
      </c>
      <c r="E829" s="18" t="s">
        <v>32</v>
      </c>
      <c r="F829" s="20" t="n">
        <v>349644</v>
      </c>
      <c r="G829" s="20" t="n">
        <v>56991.97</v>
      </c>
      <c r="H829" s="18" t="n">
        <v>6</v>
      </c>
    </row>
    <row r="830" customFormat="false" ht="15" hidden="false" customHeight="true" outlineLevel="0" collapsed="false">
      <c r="A830" s="18" t="s">
        <v>862</v>
      </c>
      <c r="B830" s="19" t="n">
        <v>45566</v>
      </c>
      <c r="C830" s="18" t="s">
        <v>19</v>
      </c>
      <c r="D830" s="18" t="s">
        <v>31</v>
      </c>
      <c r="E830" s="18" t="s">
        <v>32</v>
      </c>
      <c r="F830" s="20" t="n">
        <v>794619</v>
      </c>
      <c r="G830" s="20" t="n">
        <v>119192.85</v>
      </c>
      <c r="H830" s="18" t="n">
        <v>9</v>
      </c>
    </row>
    <row r="831" customFormat="false" ht="15" hidden="false" customHeight="true" outlineLevel="0" collapsed="false">
      <c r="A831" s="18" t="s">
        <v>863</v>
      </c>
      <c r="B831" s="19" t="n">
        <v>45657</v>
      </c>
      <c r="C831" s="18" t="s">
        <v>19</v>
      </c>
      <c r="D831" s="18" t="s">
        <v>42</v>
      </c>
      <c r="E831" s="18" t="s">
        <v>21</v>
      </c>
      <c r="F831" s="20" t="n">
        <v>47510</v>
      </c>
      <c r="G831" s="20" t="n">
        <v>7696.62</v>
      </c>
      <c r="H831" s="18" t="n">
        <v>5</v>
      </c>
    </row>
    <row r="832" customFormat="false" ht="15" hidden="false" customHeight="true" outlineLevel="0" collapsed="false">
      <c r="A832" s="18" t="s">
        <v>864</v>
      </c>
      <c r="B832" s="19" t="n">
        <v>45427</v>
      </c>
      <c r="C832" s="18" t="s">
        <v>39</v>
      </c>
      <c r="D832" s="18" t="s">
        <v>42</v>
      </c>
      <c r="E832" s="18" t="s">
        <v>21</v>
      </c>
      <c r="F832" s="20" t="n">
        <v>19484</v>
      </c>
      <c r="G832" s="20" t="n">
        <v>2981.05</v>
      </c>
      <c r="H832" s="18" t="n">
        <v>2</v>
      </c>
    </row>
    <row r="833" customFormat="false" ht="15" hidden="false" customHeight="true" outlineLevel="0" collapsed="false">
      <c r="A833" s="18" t="s">
        <v>865</v>
      </c>
      <c r="B833" s="19" t="n">
        <v>45324</v>
      </c>
      <c r="C833" s="18" t="s">
        <v>39</v>
      </c>
      <c r="D833" s="18" t="s">
        <v>49</v>
      </c>
      <c r="E833" s="18" t="s">
        <v>50</v>
      </c>
      <c r="F833" s="20" t="n">
        <v>365</v>
      </c>
      <c r="G833" s="20" t="n">
        <v>94.9</v>
      </c>
      <c r="H833" s="18" t="n">
        <v>5</v>
      </c>
    </row>
    <row r="834" customFormat="false" ht="15" hidden="false" customHeight="true" outlineLevel="0" collapsed="false">
      <c r="A834" s="18" t="s">
        <v>866</v>
      </c>
      <c r="B834" s="19" t="n">
        <v>45458</v>
      </c>
      <c r="C834" s="18" t="s">
        <v>39</v>
      </c>
      <c r="D834" s="18" t="s">
        <v>24</v>
      </c>
      <c r="E834" s="18" t="s">
        <v>25</v>
      </c>
      <c r="F834" s="20" t="n">
        <v>15420</v>
      </c>
      <c r="G834" s="20" t="n">
        <v>4872.72</v>
      </c>
      <c r="H834" s="18" t="n">
        <v>10</v>
      </c>
    </row>
    <row r="835" customFormat="false" ht="15" hidden="false" customHeight="true" outlineLevel="0" collapsed="false">
      <c r="A835" s="18" t="s">
        <v>867</v>
      </c>
      <c r="B835" s="19" t="n">
        <v>45481</v>
      </c>
      <c r="C835" s="18" t="s">
        <v>23</v>
      </c>
      <c r="D835" s="18" t="s">
        <v>72</v>
      </c>
      <c r="E835" s="18" t="s">
        <v>29</v>
      </c>
      <c r="F835" s="20" t="n">
        <v>73256</v>
      </c>
      <c r="G835" s="20" t="n">
        <v>14577.94</v>
      </c>
      <c r="H835" s="18" t="n">
        <v>8</v>
      </c>
    </row>
    <row r="836" customFormat="false" ht="15" hidden="false" customHeight="true" outlineLevel="0" collapsed="false">
      <c r="A836" s="18" t="s">
        <v>868</v>
      </c>
      <c r="B836" s="19" t="n">
        <v>45575</v>
      </c>
      <c r="C836" s="18" t="s">
        <v>39</v>
      </c>
      <c r="D836" s="18" t="s">
        <v>46</v>
      </c>
      <c r="E836" s="18" t="s">
        <v>29</v>
      </c>
      <c r="F836" s="20" t="n">
        <v>29268</v>
      </c>
      <c r="G836" s="20" t="n">
        <v>3892.64</v>
      </c>
      <c r="H836" s="18" t="n">
        <v>4</v>
      </c>
    </row>
    <row r="837" customFormat="false" ht="15" hidden="false" customHeight="true" outlineLevel="0" collapsed="false">
      <c r="A837" s="18" t="s">
        <v>869</v>
      </c>
      <c r="B837" s="19" t="n">
        <v>45396</v>
      </c>
      <c r="C837" s="18" t="s">
        <v>19</v>
      </c>
      <c r="D837" s="18" t="s">
        <v>28</v>
      </c>
      <c r="E837" s="18" t="s">
        <v>29</v>
      </c>
      <c r="F837" s="20" t="n">
        <v>32456</v>
      </c>
      <c r="G837" s="20" t="n">
        <v>6199.1</v>
      </c>
      <c r="H837" s="18" t="n">
        <v>8</v>
      </c>
    </row>
    <row r="838" customFormat="false" ht="15" hidden="false" customHeight="true" outlineLevel="0" collapsed="false">
      <c r="A838" s="18" t="s">
        <v>870</v>
      </c>
      <c r="B838" s="19" t="n">
        <v>45518</v>
      </c>
      <c r="C838" s="18" t="s">
        <v>41</v>
      </c>
      <c r="D838" s="18" t="s">
        <v>20</v>
      </c>
      <c r="E838" s="18" t="s">
        <v>21</v>
      </c>
      <c r="F838" s="20" t="n">
        <v>59990</v>
      </c>
      <c r="G838" s="20" t="n">
        <v>8218.63</v>
      </c>
      <c r="H838" s="18" t="n">
        <v>5</v>
      </c>
    </row>
    <row r="839" customFormat="false" ht="15" hidden="false" customHeight="true" outlineLevel="0" collapsed="false">
      <c r="A839" s="18" t="s">
        <v>871</v>
      </c>
      <c r="B839" s="19" t="n">
        <v>45405</v>
      </c>
      <c r="C839" s="18" t="s">
        <v>19</v>
      </c>
      <c r="D839" s="18" t="s">
        <v>42</v>
      </c>
      <c r="E839" s="18" t="s">
        <v>21</v>
      </c>
      <c r="F839" s="20" t="n">
        <v>54445</v>
      </c>
      <c r="G839" s="20" t="n">
        <v>12086.79</v>
      </c>
      <c r="H839" s="18" t="n">
        <v>5</v>
      </c>
    </row>
    <row r="840" customFormat="false" ht="15" hidden="false" customHeight="true" outlineLevel="0" collapsed="false">
      <c r="A840" s="18" t="s">
        <v>872</v>
      </c>
      <c r="B840" s="19" t="n">
        <v>45530</v>
      </c>
      <c r="C840" s="18" t="s">
        <v>27</v>
      </c>
      <c r="D840" s="18" t="s">
        <v>64</v>
      </c>
      <c r="E840" s="18" t="s">
        <v>32</v>
      </c>
      <c r="F840" s="20" t="n">
        <v>150136</v>
      </c>
      <c r="G840" s="20" t="n">
        <v>17866.18</v>
      </c>
      <c r="H840" s="18" t="n">
        <v>4</v>
      </c>
    </row>
    <row r="841" customFormat="false" ht="15" hidden="false" customHeight="true" outlineLevel="0" collapsed="false">
      <c r="A841" s="18" t="s">
        <v>840</v>
      </c>
      <c r="B841" s="19" t="n">
        <v>45652</v>
      </c>
      <c r="C841" s="18" t="s">
        <v>19</v>
      </c>
      <c r="D841" s="18" t="s">
        <v>106</v>
      </c>
      <c r="E841" s="18" t="s">
        <v>25</v>
      </c>
      <c r="F841" s="20" t="n">
        <v>4016</v>
      </c>
      <c r="G841" s="20" t="n">
        <v>899.58</v>
      </c>
      <c r="H841" s="18" t="n">
        <v>2</v>
      </c>
    </row>
    <row r="842" customFormat="false" ht="15" hidden="false" customHeight="true" outlineLevel="0" collapsed="false">
      <c r="A842" s="18" t="s">
        <v>873</v>
      </c>
      <c r="B842" s="19" t="n">
        <v>45321</v>
      </c>
      <c r="C842" s="18" t="s">
        <v>41</v>
      </c>
      <c r="D842" s="18" t="s">
        <v>46</v>
      </c>
      <c r="E842" s="18" t="s">
        <v>29</v>
      </c>
      <c r="F842" s="20" t="n">
        <v>93904</v>
      </c>
      <c r="G842" s="20" t="n">
        <v>18029.57</v>
      </c>
      <c r="H842" s="18" t="n">
        <v>8</v>
      </c>
    </row>
    <row r="843" customFormat="false" ht="15" hidden="false" customHeight="true" outlineLevel="0" collapsed="false">
      <c r="A843" s="18" t="s">
        <v>874</v>
      </c>
      <c r="B843" s="19" t="n">
        <v>45431</v>
      </c>
      <c r="C843" s="18" t="s">
        <v>23</v>
      </c>
      <c r="D843" s="18" t="s">
        <v>55</v>
      </c>
      <c r="E843" s="18" t="s">
        <v>32</v>
      </c>
      <c r="F843" s="20" t="n">
        <v>85250</v>
      </c>
      <c r="G843" s="20" t="n">
        <v>11082.5</v>
      </c>
      <c r="H843" s="18" t="n">
        <v>5</v>
      </c>
    </row>
    <row r="844" customFormat="false" ht="15" hidden="false" customHeight="true" outlineLevel="0" collapsed="false">
      <c r="A844" s="18" t="s">
        <v>875</v>
      </c>
      <c r="B844" s="19" t="n">
        <v>45414</v>
      </c>
      <c r="C844" s="18" t="s">
        <v>41</v>
      </c>
      <c r="D844" s="18" t="s">
        <v>42</v>
      </c>
      <c r="E844" s="18" t="s">
        <v>21</v>
      </c>
      <c r="F844" s="20" t="n">
        <v>38298</v>
      </c>
      <c r="G844" s="20" t="n">
        <v>6740.45</v>
      </c>
      <c r="H844" s="18" t="n">
        <v>2</v>
      </c>
    </row>
    <row r="845" customFormat="false" ht="15" hidden="false" customHeight="true" outlineLevel="0" collapsed="false">
      <c r="A845" s="18" t="s">
        <v>876</v>
      </c>
      <c r="B845" s="19" t="n">
        <v>45358</v>
      </c>
      <c r="C845" s="18" t="s">
        <v>27</v>
      </c>
      <c r="D845" s="18" t="s">
        <v>72</v>
      </c>
      <c r="E845" s="18" t="s">
        <v>29</v>
      </c>
      <c r="F845" s="20" t="n">
        <v>52784</v>
      </c>
      <c r="G845" s="20" t="n">
        <v>8234.3</v>
      </c>
      <c r="H845" s="18" t="n">
        <v>4</v>
      </c>
    </row>
    <row r="846" customFormat="false" ht="15" hidden="false" customHeight="true" outlineLevel="0" collapsed="false">
      <c r="A846" s="18" t="s">
        <v>877</v>
      </c>
      <c r="B846" s="19" t="n">
        <v>45570</v>
      </c>
      <c r="C846" s="18" t="s">
        <v>23</v>
      </c>
      <c r="D846" s="18" t="s">
        <v>24</v>
      </c>
      <c r="E846" s="18" t="s">
        <v>25</v>
      </c>
      <c r="F846" s="20" t="n">
        <v>15606</v>
      </c>
      <c r="G846" s="20" t="n">
        <v>2403.32</v>
      </c>
      <c r="H846" s="18" t="n">
        <v>9</v>
      </c>
    </row>
    <row r="847" customFormat="false" ht="15" hidden="false" customHeight="true" outlineLevel="0" collapsed="false">
      <c r="A847" s="18" t="s">
        <v>878</v>
      </c>
      <c r="B847" s="19" t="n">
        <v>45616</v>
      </c>
      <c r="C847" s="18" t="s">
        <v>19</v>
      </c>
      <c r="D847" s="18" t="s">
        <v>42</v>
      </c>
      <c r="E847" s="18" t="s">
        <v>21</v>
      </c>
      <c r="F847" s="20" t="n">
        <v>73955</v>
      </c>
      <c r="G847" s="20" t="n">
        <v>10353.7</v>
      </c>
      <c r="H847" s="18" t="n">
        <v>5</v>
      </c>
    </row>
    <row r="848" customFormat="false" ht="15" hidden="false" customHeight="true" outlineLevel="0" collapsed="false">
      <c r="A848" s="18" t="s">
        <v>879</v>
      </c>
      <c r="B848" s="19" t="n">
        <v>45555</v>
      </c>
      <c r="C848" s="18" t="s">
        <v>41</v>
      </c>
      <c r="D848" s="18" t="s">
        <v>52</v>
      </c>
      <c r="E848" s="18" t="s">
        <v>32</v>
      </c>
      <c r="F848" s="20" t="n">
        <v>21405</v>
      </c>
      <c r="G848" s="20" t="n">
        <v>2868.27</v>
      </c>
      <c r="H848" s="18" t="n">
        <v>3</v>
      </c>
    </row>
    <row r="849" customFormat="false" ht="15" hidden="false" customHeight="true" outlineLevel="0" collapsed="false">
      <c r="A849" s="18" t="s">
        <v>521</v>
      </c>
      <c r="B849" s="19" t="n">
        <v>45536</v>
      </c>
      <c r="C849" s="18" t="s">
        <v>41</v>
      </c>
      <c r="D849" s="18" t="s">
        <v>93</v>
      </c>
      <c r="E849" s="18" t="s">
        <v>32</v>
      </c>
      <c r="F849" s="20" t="n">
        <v>52050</v>
      </c>
      <c r="G849" s="20" t="n">
        <v>6870.6</v>
      </c>
      <c r="H849" s="18" t="n">
        <v>10</v>
      </c>
    </row>
    <row r="850" customFormat="false" ht="15" hidden="false" customHeight="true" outlineLevel="0" collapsed="false">
      <c r="A850" s="18" t="s">
        <v>880</v>
      </c>
      <c r="B850" s="19" t="n">
        <v>45525</v>
      </c>
      <c r="C850" s="18" t="s">
        <v>19</v>
      </c>
      <c r="D850" s="18" t="s">
        <v>83</v>
      </c>
      <c r="E850" s="18" t="s">
        <v>21</v>
      </c>
      <c r="F850" s="20" t="n">
        <v>26560</v>
      </c>
      <c r="G850" s="20" t="n">
        <v>3532.48</v>
      </c>
      <c r="H850" s="18" t="n">
        <v>8</v>
      </c>
    </row>
    <row r="851" customFormat="false" ht="15" hidden="false" customHeight="true" outlineLevel="0" collapsed="false">
      <c r="A851" s="18" t="s">
        <v>881</v>
      </c>
      <c r="B851" s="19" t="n">
        <v>45495</v>
      </c>
      <c r="C851" s="18" t="s">
        <v>39</v>
      </c>
      <c r="D851" s="18" t="s">
        <v>49</v>
      </c>
      <c r="E851" s="18" t="s">
        <v>50</v>
      </c>
      <c r="F851" s="20" t="n">
        <v>332</v>
      </c>
      <c r="G851" s="20" t="n">
        <v>84.33</v>
      </c>
      <c r="H851" s="18" t="n">
        <v>4</v>
      </c>
    </row>
    <row r="852" customFormat="false" ht="15" hidden="false" customHeight="true" outlineLevel="0" collapsed="false">
      <c r="A852" s="18" t="s">
        <v>882</v>
      </c>
      <c r="B852" s="19" t="n">
        <v>45404</v>
      </c>
      <c r="C852" s="18" t="s">
        <v>19</v>
      </c>
      <c r="D852" s="18" t="s">
        <v>64</v>
      </c>
      <c r="E852" s="18" t="s">
        <v>32</v>
      </c>
      <c r="F852" s="20" t="n">
        <v>123675</v>
      </c>
      <c r="G852" s="20" t="n">
        <v>16572.45</v>
      </c>
      <c r="H852" s="18" t="n">
        <v>5</v>
      </c>
    </row>
    <row r="853" customFormat="false" ht="15" hidden="false" customHeight="true" outlineLevel="0" collapsed="false">
      <c r="A853" s="18" t="s">
        <v>883</v>
      </c>
      <c r="B853" s="19" t="n">
        <v>45347</v>
      </c>
      <c r="C853" s="18" t="s">
        <v>41</v>
      </c>
      <c r="D853" s="18" t="s">
        <v>64</v>
      </c>
      <c r="E853" s="18" t="s">
        <v>32</v>
      </c>
      <c r="F853" s="20" t="n">
        <v>271033</v>
      </c>
      <c r="G853" s="20" t="n">
        <v>41468.05</v>
      </c>
      <c r="H853" s="18" t="n">
        <v>7</v>
      </c>
    </row>
    <row r="854" customFormat="false" ht="15" hidden="false" customHeight="true" outlineLevel="0" collapsed="false">
      <c r="A854" s="18" t="s">
        <v>884</v>
      </c>
      <c r="B854" s="19" t="n">
        <v>45436</v>
      </c>
      <c r="C854" s="18" t="s">
        <v>41</v>
      </c>
      <c r="D854" s="18" t="s">
        <v>20</v>
      </c>
      <c r="E854" s="18" t="s">
        <v>21</v>
      </c>
      <c r="F854" s="20" t="n">
        <v>33635</v>
      </c>
      <c r="G854" s="20" t="n">
        <v>5617.05</v>
      </c>
      <c r="H854" s="18" t="n">
        <v>5</v>
      </c>
    </row>
    <row r="855" customFormat="false" ht="15" hidden="false" customHeight="true" outlineLevel="0" collapsed="false">
      <c r="A855" s="18" t="s">
        <v>885</v>
      </c>
      <c r="B855" s="19" t="n">
        <v>45655</v>
      </c>
      <c r="C855" s="18" t="s">
        <v>41</v>
      </c>
      <c r="D855" s="18" t="s">
        <v>31</v>
      </c>
      <c r="E855" s="18" t="s">
        <v>32</v>
      </c>
      <c r="F855" s="20" t="n">
        <v>464790</v>
      </c>
      <c r="G855" s="20" t="n">
        <v>42295.89</v>
      </c>
      <c r="H855" s="18" t="n">
        <v>6</v>
      </c>
    </row>
    <row r="856" customFormat="false" ht="15" hidden="false" customHeight="true" outlineLevel="0" collapsed="false">
      <c r="A856" s="18" t="s">
        <v>886</v>
      </c>
      <c r="B856" s="19" t="n">
        <v>45636</v>
      </c>
      <c r="C856" s="18" t="s">
        <v>19</v>
      </c>
      <c r="D856" s="18" t="s">
        <v>42</v>
      </c>
      <c r="E856" s="18" t="s">
        <v>21</v>
      </c>
      <c r="F856" s="20" t="n">
        <v>91780</v>
      </c>
      <c r="G856" s="20" t="n">
        <v>12757.42</v>
      </c>
      <c r="H856" s="18" t="n">
        <v>5</v>
      </c>
    </row>
    <row r="857" customFormat="false" ht="15" hidden="false" customHeight="true" outlineLevel="0" collapsed="false">
      <c r="A857" s="18" t="s">
        <v>887</v>
      </c>
      <c r="B857" s="19" t="n">
        <v>45534</v>
      </c>
      <c r="C857" s="18" t="s">
        <v>27</v>
      </c>
      <c r="D857" s="18" t="s">
        <v>88</v>
      </c>
      <c r="E857" s="18" t="s">
        <v>50</v>
      </c>
      <c r="F857" s="20" t="n">
        <v>909</v>
      </c>
      <c r="G857" s="20" t="n">
        <v>357.24</v>
      </c>
      <c r="H857" s="18" t="n">
        <v>3</v>
      </c>
    </row>
    <row r="858" customFormat="false" ht="15" hidden="false" customHeight="true" outlineLevel="0" collapsed="false">
      <c r="A858" s="18" t="s">
        <v>888</v>
      </c>
      <c r="B858" s="19" t="n">
        <v>45411</v>
      </c>
      <c r="C858" s="18" t="s">
        <v>41</v>
      </c>
      <c r="D858" s="18" t="s">
        <v>88</v>
      </c>
      <c r="E858" s="18" t="s">
        <v>50</v>
      </c>
      <c r="F858" s="20" t="n">
        <v>1410</v>
      </c>
      <c r="G858" s="20" t="n">
        <v>461.07</v>
      </c>
      <c r="H858" s="18" t="n">
        <v>5</v>
      </c>
    </row>
    <row r="859" customFormat="false" ht="15" hidden="false" customHeight="true" outlineLevel="0" collapsed="false">
      <c r="A859" s="18" t="s">
        <v>889</v>
      </c>
      <c r="B859" s="19" t="n">
        <v>45629</v>
      </c>
      <c r="C859" s="18" t="s">
        <v>19</v>
      </c>
      <c r="D859" s="18" t="s">
        <v>106</v>
      </c>
      <c r="E859" s="18" t="s">
        <v>25</v>
      </c>
      <c r="F859" s="20" t="n">
        <v>14240</v>
      </c>
      <c r="G859" s="20" t="n">
        <v>3745.12</v>
      </c>
      <c r="H859" s="18" t="n">
        <v>10</v>
      </c>
    </row>
    <row r="860" customFormat="false" ht="15" hidden="false" customHeight="true" outlineLevel="0" collapsed="false">
      <c r="A860" s="18" t="s">
        <v>890</v>
      </c>
      <c r="B860" s="19" t="n">
        <v>45298</v>
      </c>
      <c r="C860" s="18" t="s">
        <v>19</v>
      </c>
      <c r="D860" s="18" t="s">
        <v>49</v>
      </c>
      <c r="E860" s="18" t="s">
        <v>50</v>
      </c>
      <c r="F860" s="20" t="n">
        <v>210</v>
      </c>
      <c r="G860" s="20" t="n">
        <v>72.45</v>
      </c>
      <c r="H860" s="18" t="n">
        <v>7</v>
      </c>
    </row>
    <row r="861" customFormat="false" ht="15" hidden="false" customHeight="true" outlineLevel="0" collapsed="false">
      <c r="A861" s="18" t="s">
        <v>891</v>
      </c>
      <c r="B861" s="19" t="n">
        <v>45393</v>
      </c>
      <c r="C861" s="18" t="s">
        <v>27</v>
      </c>
      <c r="D861" s="18" t="s">
        <v>52</v>
      </c>
      <c r="E861" s="18" t="s">
        <v>32</v>
      </c>
      <c r="F861" s="20" t="n">
        <v>23769</v>
      </c>
      <c r="G861" s="20" t="n">
        <v>3446.5</v>
      </c>
      <c r="H861" s="18" t="n">
        <v>9</v>
      </c>
    </row>
    <row r="862" customFormat="false" ht="15" hidden="false" customHeight="true" outlineLevel="0" collapsed="false">
      <c r="A862" s="18" t="s">
        <v>892</v>
      </c>
      <c r="B862" s="19" t="n">
        <v>45585</v>
      </c>
      <c r="C862" s="18" t="s">
        <v>27</v>
      </c>
      <c r="D862" s="18" t="s">
        <v>55</v>
      </c>
      <c r="E862" s="18" t="s">
        <v>32</v>
      </c>
      <c r="F862" s="20" t="n">
        <v>330392</v>
      </c>
      <c r="G862" s="20" t="n">
        <v>37003.9</v>
      </c>
      <c r="H862" s="18" t="n">
        <v>8</v>
      </c>
    </row>
    <row r="863" customFormat="false" ht="15" hidden="false" customHeight="true" outlineLevel="0" collapsed="false">
      <c r="A863" s="18" t="s">
        <v>893</v>
      </c>
      <c r="B863" s="19" t="n">
        <v>45622</v>
      </c>
      <c r="C863" s="18" t="s">
        <v>23</v>
      </c>
      <c r="D863" s="18" t="s">
        <v>93</v>
      </c>
      <c r="E863" s="18" t="s">
        <v>32</v>
      </c>
      <c r="F863" s="20" t="n">
        <v>13542</v>
      </c>
      <c r="G863" s="20" t="n">
        <v>1381.28</v>
      </c>
      <c r="H863" s="18" t="n">
        <v>3</v>
      </c>
    </row>
    <row r="864" customFormat="false" ht="15" hidden="false" customHeight="true" outlineLevel="0" collapsed="false">
      <c r="A864" s="18" t="s">
        <v>894</v>
      </c>
      <c r="B864" s="19" t="n">
        <v>45372</v>
      </c>
      <c r="C864" s="18" t="s">
        <v>39</v>
      </c>
      <c r="D864" s="18" t="s">
        <v>44</v>
      </c>
      <c r="E864" s="18" t="s">
        <v>32</v>
      </c>
      <c r="F864" s="20" t="n">
        <v>13626</v>
      </c>
      <c r="G864" s="20" t="n">
        <v>1308.1</v>
      </c>
      <c r="H864" s="18" t="n">
        <v>9</v>
      </c>
    </row>
    <row r="865" customFormat="false" ht="15" hidden="false" customHeight="true" outlineLevel="0" collapsed="false">
      <c r="A865" s="18" t="s">
        <v>895</v>
      </c>
      <c r="B865" s="19" t="n">
        <v>45609</v>
      </c>
      <c r="C865" s="18" t="s">
        <v>19</v>
      </c>
      <c r="D865" s="18" t="s">
        <v>34</v>
      </c>
      <c r="E865" s="18" t="s">
        <v>25</v>
      </c>
      <c r="F865" s="20" t="n">
        <v>1494</v>
      </c>
      <c r="G865" s="20" t="n">
        <v>494.51</v>
      </c>
      <c r="H865" s="18" t="n">
        <v>3</v>
      </c>
    </row>
    <row r="866" customFormat="false" ht="15" hidden="false" customHeight="true" outlineLevel="0" collapsed="false">
      <c r="A866" s="18" t="s">
        <v>896</v>
      </c>
      <c r="B866" s="19" t="n">
        <v>45318</v>
      </c>
      <c r="C866" s="18" t="s">
        <v>41</v>
      </c>
      <c r="D866" s="18" t="s">
        <v>49</v>
      </c>
      <c r="E866" s="18" t="s">
        <v>50</v>
      </c>
      <c r="F866" s="20" t="n">
        <v>480</v>
      </c>
      <c r="G866" s="20" t="n">
        <v>105.6</v>
      </c>
      <c r="H866" s="18" t="n">
        <v>6</v>
      </c>
    </row>
    <row r="867" customFormat="false" ht="15" hidden="false" customHeight="true" outlineLevel="0" collapsed="false">
      <c r="A867" s="18" t="s">
        <v>897</v>
      </c>
      <c r="B867" s="19" t="n">
        <v>45592</v>
      </c>
      <c r="C867" s="18" t="s">
        <v>23</v>
      </c>
      <c r="D867" s="18" t="s">
        <v>20</v>
      </c>
      <c r="E867" s="18" t="s">
        <v>21</v>
      </c>
      <c r="F867" s="20" t="n">
        <v>51376</v>
      </c>
      <c r="G867" s="20" t="n">
        <v>11970.61</v>
      </c>
      <c r="H867" s="18" t="n">
        <v>8</v>
      </c>
    </row>
    <row r="868" customFormat="false" ht="15" hidden="false" customHeight="true" outlineLevel="0" collapsed="false">
      <c r="A868" s="18" t="s">
        <v>898</v>
      </c>
      <c r="B868" s="19" t="n">
        <v>45359</v>
      </c>
      <c r="C868" s="18" t="s">
        <v>27</v>
      </c>
      <c r="D868" s="18" t="s">
        <v>46</v>
      </c>
      <c r="E868" s="18" t="s">
        <v>29</v>
      </c>
      <c r="F868" s="20" t="n">
        <v>66402</v>
      </c>
      <c r="G868" s="20" t="n">
        <v>10292.31</v>
      </c>
      <c r="H868" s="18" t="n">
        <v>7</v>
      </c>
    </row>
    <row r="869" customFormat="false" ht="15" hidden="false" customHeight="true" outlineLevel="0" collapsed="false">
      <c r="A869" s="18" t="s">
        <v>899</v>
      </c>
      <c r="B869" s="19" t="n">
        <v>45538</v>
      </c>
      <c r="C869" s="18" t="s">
        <v>39</v>
      </c>
      <c r="D869" s="18" t="s">
        <v>52</v>
      </c>
      <c r="E869" s="18" t="s">
        <v>32</v>
      </c>
      <c r="F869" s="20" t="n">
        <v>46350</v>
      </c>
      <c r="G869" s="20" t="n">
        <v>6303.6</v>
      </c>
      <c r="H869" s="18" t="n">
        <v>6</v>
      </c>
    </row>
    <row r="870" customFormat="false" ht="15" hidden="false" customHeight="true" outlineLevel="0" collapsed="false">
      <c r="A870" s="18" t="s">
        <v>900</v>
      </c>
      <c r="B870" s="19" t="n">
        <v>45461</v>
      </c>
      <c r="C870" s="18" t="s">
        <v>19</v>
      </c>
      <c r="D870" s="18" t="s">
        <v>93</v>
      </c>
      <c r="E870" s="18" t="s">
        <v>32</v>
      </c>
      <c r="F870" s="20" t="n">
        <v>12556</v>
      </c>
      <c r="G870" s="20" t="n">
        <v>1368.6</v>
      </c>
      <c r="H870" s="18" t="n">
        <v>4</v>
      </c>
    </row>
    <row r="871" customFormat="false" ht="15" hidden="false" customHeight="true" outlineLevel="0" collapsed="false">
      <c r="A871" s="18" t="s">
        <v>901</v>
      </c>
      <c r="B871" s="19" t="n">
        <v>45516</v>
      </c>
      <c r="C871" s="18" t="s">
        <v>27</v>
      </c>
      <c r="D871" s="18" t="s">
        <v>28</v>
      </c>
      <c r="E871" s="18" t="s">
        <v>29</v>
      </c>
      <c r="F871" s="20" t="n">
        <v>62955</v>
      </c>
      <c r="G871" s="20" t="n">
        <v>7302.78</v>
      </c>
      <c r="H871" s="18" t="n">
        <v>9</v>
      </c>
    </row>
    <row r="872" customFormat="false" ht="15" hidden="false" customHeight="true" outlineLevel="0" collapsed="false">
      <c r="A872" s="18" t="s">
        <v>902</v>
      </c>
      <c r="B872" s="19" t="n">
        <v>45381</v>
      </c>
      <c r="C872" s="18" t="s">
        <v>41</v>
      </c>
      <c r="D872" s="18" t="s">
        <v>86</v>
      </c>
      <c r="E872" s="18" t="s">
        <v>21</v>
      </c>
      <c r="F872" s="20" t="n">
        <v>356112</v>
      </c>
      <c r="G872" s="20" t="n">
        <v>57334.03</v>
      </c>
      <c r="H872" s="18" t="n">
        <v>6</v>
      </c>
    </row>
    <row r="873" customFormat="false" ht="15" hidden="false" customHeight="true" outlineLevel="0" collapsed="false">
      <c r="A873" s="18" t="s">
        <v>903</v>
      </c>
      <c r="B873" s="19" t="n">
        <v>45591</v>
      </c>
      <c r="C873" s="18" t="s">
        <v>41</v>
      </c>
      <c r="D873" s="18" t="s">
        <v>36</v>
      </c>
      <c r="E873" s="18" t="s">
        <v>25</v>
      </c>
      <c r="F873" s="20" t="n">
        <v>46160</v>
      </c>
      <c r="G873" s="20" t="n">
        <v>11309.2</v>
      </c>
      <c r="H873" s="18" t="n">
        <v>10</v>
      </c>
    </row>
    <row r="874" customFormat="false" ht="15" hidden="false" customHeight="true" outlineLevel="0" collapsed="false">
      <c r="A874" s="18" t="s">
        <v>904</v>
      </c>
      <c r="B874" s="19" t="n">
        <v>45400</v>
      </c>
      <c r="C874" s="18" t="s">
        <v>41</v>
      </c>
      <c r="D874" s="18" t="s">
        <v>72</v>
      </c>
      <c r="E874" s="18" t="s">
        <v>29</v>
      </c>
      <c r="F874" s="20" t="n">
        <v>69520</v>
      </c>
      <c r="G874" s="20" t="n">
        <v>13139.28</v>
      </c>
      <c r="H874" s="18" t="n">
        <v>5</v>
      </c>
    </row>
    <row r="875" customFormat="false" ht="15" hidden="false" customHeight="true" outlineLevel="0" collapsed="false">
      <c r="A875" s="18" t="s">
        <v>905</v>
      </c>
      <c r="B875" s="19" t="n">
        <v>45524</v>
      </c>
      <c r="C875" s="18" t="s">
        <v>27</v>
      </c>
      <c r="D875" s="18" t="s">
        <v>49</v>
      </c>
      <c r="E875" s="18" t="s">
        <v>50</v>
      </c>
      <c r="F875" s="20" t="n">
        <v>120</v>
      </c>
      <c r="G875" s="20" t="n">
        <v>34.2</v>
      </c>
      <c r="H875" s="18" t="n">
        <v>2</v>
      </c>
    </row>
    <row r="876" customFormat="false" ht="15" hidden="false" customHeight="true" outlineLevel="0" collapsed="false">
      <c r="A876" s="18" t="s">
        <v>778</v>
      </c>
      <c r="B876" s="19" t="n">
        <v>45610</v>
      </c>
      <c r="C876" s="18" t="s">
        <v>23</v>
      </c>
      <c r="D876" s="18" t="s">
        <v>52</v>
      </c>
      <c r="E876" s="18" t="s">
        <v>32</v>
      </c>
      <c r="F876" s="20" t="n">
        <v>10408</v>
      </c>
      <c r="G876" s="20"/>
      <c r="H876" s="18" t="n">
        <v>2</v>
      </c>
    </row>
    <row r="877" customFormat="false" ht="15" hidden="false" customHeight="true" outlineLevel="0" collapsed="false">
      <c r="A877" s="18" t="s">
        <v>906</v>
      </c>
      <c r="B877" s="19" t="n">
        <v>45497</v>
      </c>
      <c r="C877" s="18" t="s">
        <v>41</v>
      </c>
      <c r="D877" s="18" t="s">
        <v>62</v>
      </c>
      <c r="E877" s="18" t="s">
        <v>50</v>
      </c>
      <c r="F877" s="20" t="n">
        <v>595</v>
      </c>
      <c r="G877" s="20" t="n">
        <v>157.68</v>
      </c>
      <c r="H877" s="18" t="n">
        <v>5</v>
      </c>
    </row>
    <row r="878" customFormat="false" ht="15" hidden="false" customHeight="true" outlineLevel="0" collapsed="false">
      <c r="A878" s="18" t="s">
        <v>907</v>
      </c>
      <c r="B878" s="19" t="n">
        <v>45448</v>
      </c>
      <c r="C878" s="18" t="s">
        <v>19</v>
      </c>
      <c r="D878" s="18" t="s">
        <v>42</v>
      </c>
      <c r="E878" s="18" t="s">
        <v>21</v>
      </c>
      <c r="F878" s="20" t="n">
        <v>31634</v>
      </c>
      <c r="G878" s="20" t="n">
        <v>4586.93</v>
      </c>
      <c r="H878" s="18" t="n">
        <v>2</v>
      </c>
    </row>
    <row r="879" customFormat="false" ht="15" hidden="false" customHeight="true" outlineLevel="0" collapsed="false">
      <c r="A879" s="18" t="s">
        <v>908</v>
      </c>
      <c r="B879" s="19" t="n">
        <v>45478</v>
      </c>
      <c r="C879" s="18" t="s">
        <v>27</v>
      </c>
      <c r="D879" s="18" t="s">
        <v>93</v>
      </c>
      <c r="E879" s="18" t="s">
        <v>32</v>
      </c>
      <c r="F879" s="20" t="n">
        <v>6237</v>
      </c>
      <c r="G879" s="20" t="n">
        <v>842</v>
      </c>
      <c r="H879" s="18" t="n">
        <v>3</v>
      </c>
    </row>
    <row r="880" customFormat="false" ht="15" hidden="false" customHeight="true" outlineLevel="0" collapsed="false">
      <c r="A880" s="18" t="s">
        <v>909</v>
      </c>
      <c r="B880" s="19" t="n">
        <v>45646</v>
      </c>
      <c r="C880" s="18" t="s">
        <v>27</v>
      </c>
      <c r="D880" s="18" t="s">
        <v>75</v>
      </c>
      <c r="E880" s="18" t="s">
        <v>29</v>
      </c>
      <c r="F880" s="20" t="n">
        <v>4290</v>
      </c>
      <c r="G880" s="20" t="n">
        <v>793.65</v>
      </c>
      <c r="H880" s="18" t="n">
        <v>2</v>
      </c>
    </row>
    <row r="881" customFormat="false" ht="15" hidden="false" customHeight="true" outlineLevel="0" collapsed="false">
      <c r="A881" s="18" t="s">
        <v>910</v>
      </c>
      <c r="B881" s="19" t="n">
        <v>45512</v>
      </c>
      <c r="C881" s="18" t="s">
        <v>39</v>
      </c>
      <c r="D881" s="18" t="s">
        <v>52</v>
      </c>
      <c r="E881" s="18" t="s">
        <v>32</v>
      </c>
      <c r="F881" s="20" t="n">
        <v>10190</v>
      </c>
      <c r="G881" s="20" t="n">
        <v>968.05</v>
      </c>
      <c r="H881" s="18" t="n">
        <v>2</v>
      </c>
    </row>
    <row r="882" customFormat="false" ht="15" hidden="false" customHeight="true" outlineLevel="0" collapsed="false">
      <c r="A882" s="18" t="s">
        <v>911</v>
      </c>
      <c r="B882" s="19" t="n">
        <v>45568</v>
      </c>
      <c r="C882" s="18" t="s">
        <v>23</v>
      </c>
      <c r="D882" s="18" t="s">
        <v>64</v>
      </c>
      <c r="E882" s="18" t="s">
        <v>32</v>
      </c>
      <c r="F882" s="20" t="n">
        <v>303018</v>
      </c>
      <c r="G882" s="20" t="n">
        <v>28180.67</v>
      </c>
      <c r="H882" s="18" t="n">
        <v>6</v>
      </c>
    </row>
    <row r="883" customFormat="false" ht="15" hidden="false" customHeight="true" outlineLevel="0" collapsed="false">
      <c r="A883" s="18" t="s">
        <v>912</v>
      </c>
      <c r="B883" s="19" t="n">
        <v>45632</v>
      </c>
      <c r="C883" s="18" t="s">
        <v>39</v>
      </c>
      <c r="D883" s="18" t="s">
        <v>36</v>
      </c>
      <c r="E883" s="18" t="s">
        <v>25</v>
      </c>
      <c r="F883" s="20" t="n">
        <v>8680</v>
      </c>
      <c r="G883" s="20" t="n">
        <v>2213.4</v>
      </c>
      <c r="H883" s="18" t="n">
        <v>4</v>
      </c>
    </row>
    <row r="884" customFormat="false" ht="15" hidden="false" customHeight="true" outlineLevel="0" collapsed="false">
      <c r="A884" s="18" t="s">
        <v>913</v>
      </c>
      <c r="B884" s="19" t="n">
        <v>45629</v>
      </c>
      <c r="C884" s="18" t="s">
        <v>41</v>
      </c>
      <c r="D884" s="18" t="s">
        <v>91</v>
      </c>
      <c r="E884" s="18" t="s">
        <v>25</v>
      </c>
      <c r="F884" s="20" t="n">
        <v>12116</v>
      </c>
      <c r="G884" s="20" t="n">
        <v>3719.61</v>
      </c>
      <c r="H884" s="18" t="n">
        <v>4</v>
      </c>
    </row>
    <row r="885" customFormat="false" ht="15" hidden="false" customHeight="true" outlineLevel="0" collapsed="false">
      <c r="A885" s="18" t="s">
        <v>914</v>
      </c>
      <c r="B885" s="19" t="n">
        <v>45644</v>
      </c>
      <c r="C885" s="18" t="s">
        <v>41</v>
      </c>
      <c r="D885" s="18" t="s">
        <v>120</v>
      </c>
      <c r="E885" s="18" t="s">
        <v>29</v>
      </c>
      <c r="F885" s="20" t="n">
        <v>82800</v>
      </c>
      <c r="G885" s="20" t="n">
        <v>16311.6</v>
      </c>
      <c r="H885" s="18" t="n">
        <v>8</v>
      </c>
    </row>
    <row r="886" customFormat="false" ht="15" hidden="false" customHeight="true" outlineLevel="0" collapsed="false">
      <c r="A886" s="18" t="s">
        <v>915</v>
      </c>
      <c r="B886" s="19" t="n">
        <v>45640</v>
      </c>
      <c r="C886" s="18" t="s">
        <v>19</v>
      </c>
      <c r="D886" s="18" t="s">
        <v>120</v>
      </c>
      <c r="E886" s="18" t="s">
        <v>29</v>
      </c>
      <c r="F886" s="20" t="n">
        <v>73200</v>
      </c>
      <c r="G886" s="20" t="n">
        <v>14347.2</v>
      </c>
      <c r="H886" s="18" t="n">
        <v>8</v>
      </c>
    </row>
    <row r="887" customFormat="false" ht="15" hidden="false" customHeight="true" outlineLevel="0" collapsed="false">
      <c r="A887" s="18" t="s">
        <v>916</v>
      </c>
      <c r="B887" s="19" t="n">
        <v>45382</v>
      </c>
      <c r="C887" s="18" t="s">
        <v>23</v>
      </c>
      <c r="D887" s="18" t="s">
        <v>44</v>
      </c>
      <c r="E887" s="18" t="s">
        <v>32</v>
      </c>
      <c r="F887" s="20" t="n">
        <v>5244</v>
      </c>
      <c r="G887" s="20" t="n">
        <v>624.04</v>
      </c>
      <c r="H887" s="18" t="n">
        <v>3</v>
      </c>
    </row>
    <row r="888" customFormat="false" ht="15" hidden="false" customHeight="true" outlineLevel="0" collapsed="false">
      <c r="A888" s="18" t="s">
        <v>917</v>
      </c>
      <c r="B888" s="19" t="n">
        <v>45511</v>
      </c>
      <c r="C888" s="18" t="s">
        <v>27</v>
      </c>
      <c r="D888" s="18" t="s">
        <v>88</v>
      </c>
      <c r="E888" s="18" t="s">
        <v>50</v>
      </c>
      <c r="F888" s="20" t="n">
        <v>69</v>
      </c>
      <c r="G888" s="20" t="n">
        <v>21.18</v>
      </c>
      <c r="H888" s="18" t="n">
        <v>1</v>
      </c>
    </row>
    <row r="889" customFormat="false" ht="15" hidden="false" customHeight="true" outlineLevel="0" collapsed="false">
      <c r="A889" s="18" t="s">
        <v>918</v>
      </c>
      <c r="B889" s="19" t="n">
        <v>45568</v>
      </c>
      <c r="C889" s="18" t="s">
        <v>39</v>
      </c>
      <c r="D889" s="18" t="s">
        <v>36</v>
      </c>
      <c r="E889" s="18" t="s">
        <v>25</v>
      </c>
      <c r="F889" s="20" t="n">
        <v>2647</v>
      </c>
      <c r="G889" s="20" t="n">
        <v>664.4</v>
      </c>
      <c r="H889" s="18" t="n">
        <v>1</v>
      </c>
    </row>
    <row r="890" customFormat="false" ht="15" hidden="false" customHeight="true" outlineLevel="0" collapsed="false">
      <c r="A890" s="18" t="s">
        <v>308</v>
      </c>
      <c r="B890" s="19" t="n">
        <v>45342</v>
      </c>
      <c r="C890" s="18" t="s">
        <v>19</v>
      </c>
      <c r="D890" s="18" t="s">
        <v>42</v>
      </c>
      <c r="E890" s="18" t="s">
        <v>21</v>
      </c>
      <c r="F890" s="20" t="n">
        <v>146124</v>
      </c>
      <c r="G890" s="20" t="n">
        <v>27325.19</v>
      </c>
      <c r="H890" s="18" t="n">
        <v>9</v>
      </c>
    </row>
    <row r="891" customFormat="false" ht="15" hidden="false" customHeight="true" outlineLevel="0" collapsed="false">
      <c r="A891" s="18" t="s">
        <v>919</v>
      </c>
      <c r="B891" s="19" t="n">
        <v>45576</v>
      </c>
      <c r="C891" s="18" t="s">
        <v>27</v>
      </c>
      <c r="D891" s="18" t="s">
        <v>64</v>
      </c>
      <c r="E891" s="18" t="s">
        <v>32</v>
      </c>
      <c r="F891" s="20" t="n">
        <v>312960</v>
      </c>
      <c r="G891" s="20" t="n">
        <v>46005.12</v>
      </c>
      <c r="H891" s="18" t="n">
        <v>6</v>
      </c>
    </row>
    <row r="892" customFormat="false" ht="15" hidden="false" customHeight="true" outlineLevel="0" collapsed="false">
      <c r="A892" s="18" t="s">
        <v>920</v>
      </c>
      <c r="B892" s="19" t="n">
        <v>45516</v>
      </c>
      <c r="C892" s="18" t="s">
        <v>27</v>
      </c>
      <c r="D892" s="18" t="s">
        <v>70</v>
      </c>
      <c r="E892" s="18" t="s">
        <v>21</v>
      </c>
      <c r="F892" s="20" t="n">
        <v>39678</v>
      </c>
      <c r="G892" s="20" t="n">
        <v>4999.43</v>
      </c>
      <c r="H892" s="18" t="n">
        <v>2</v>
      </c>
    </row>
    <row r="893" customFormat="false" ht="15" hidden="false" customHeight="true" outlineLevel="0" collapsed="false">
      <c r="A893" s="18" t="s">
        <v>921</v>
      </c>
      <c r="B893" s="19" t="n">
        <v>45445</v>
      </c>
      <c r="C893" s="18" t="s">
        <v>41</v>
      </c>
      <c r="D893" s="18" t="s">
        <v>64</v>
      </c>
      <c r="E893" s="18" t="s">
        <v>32</v>
      </c>
      <c r="F893" s="20" t="n">
        <v>82062</v>
      </c>
      <c r="G893" s="20" t="n">
        <v>8944.76</v>
      </c>
      <c r="H893" s="18" t="n">
        <v>6</v>
      </c>
    </row>
    <row r="894" customFormat="false" ht="15" hidden="false" customHeight="true" outlineLevel="0" collapsed="false">
      <c r="A894" s="18" t="s">
        <v>922</v>
      </c>
      <c r="B894" s="19" t="n">
        <v>45588</v>
      </c>
      <c r="C894" s="18" t="s">
        <v>23</v>
      </c>
      <c r="D894" s="18" t="s">
        <v>42</v>
      </c>
      <c r="E894" s="18" t="s">
        <v>21</v>
      </c>
      <c r="F894" s="20" t="n">
        <v>13560</v>
      </c>
      <c r="G894" s="20" t="n">
        <v>2467.92</v>
      </c>
      <c r="H894" s="18" t="n">
        <v>1</v>
      </c>
    </row>
    <row r="895" customFormat="false" ht="15" hidden="false" customHeight="true" outlineLevel="0" collapsed="false">
      <c r="A895" s="18" t="s">
        <v>923</v>
      </c>
      <c r="B895" s="19" t="n">
        <v>45396</v>
      </c>
      <c r="C895" s="18" t="s">
        <v>19</v>
      </c>
      <c r="D895" s="18" t="s">
        <v>120</v>
      </c>
      <c r="E895" s="18" t="s">
        <v>29</v>
      </c>
      <c r="F895" s="20" t="n">
        <v>33363</v>
      </c>
      <c r="G895" s="20" t="n">
        <v>6205.52</v>
      </c>
      <c r="H895" s="18" t="n">
        <v>3</v>
      </c>
    </row>
    <row r="896" customFormat="false" ht="15" hidden="false" customHeight="true" outlineLevel="0" collapsed="false">
      <c r="A896" s="18" t="s">
        <v>130</v>
      </c>
      <c r="B896" s="19" t="n">
        <v>45631</v>
      </c>
      <c r="C896" s="18" t="s">
        <v>19</v>
      </c>
      <c r="D896" s="18" t="s">
        <v>70</v>
      </c>
      <c r="E896" s="18" t="s">
        <v>21</v>
      </c>
      <c r="F896" s="20" t="n">
        <v>117714</v>
      </c>
      <c r="G896" s="20" t="n">
        <v>17421.67</v>
      </c>
      <c r="H896" s="18" t="n">
        <v>6</v>
      </c>
    </row>
    <row r="897" customFormat="false" ht="15" hidden="false" customHeight="true" outlineLevel="0" collapsed="false">
      <c r="A897" s="18" t="s">
        <v>924</v>
      </c>
      <c r="B897" s="19" t="n">
        <v>45577</v>
      </c>
      <c r="C897" s="18" t="s">
        <v>23</v>
      </c>
      <c r="D897" s="18" t="s">
        <v>28</v>
      </c>
      <c r="E897" s="18" t="s">
        <v>29</v>
      </c>
      <c r="F897" s="20" t="n">
        <v>19922</v>
      </c>
      <c r="G897" s="20" t="n">
        <v>2051.97</v>
      </c>
      <c r="H897" s="18" t="n">
        <v>7</v>
      </c>
    </row>
    <row r="898" customFormat="false" ht="15" hidden="false" customHeight="true" outlineLevel="0" collapsed="false">
      <c r="A898" s="18" t="s">
        <v>925</v>
      </c>
      <c r="B898" s="19" t="n">
        <v>45467</v>
      </c>
      <c r="C898" s="18" t="s">
        <v>41</v>
      </c>
      <c r="D898" s="18" t="s">
        <v>28</v>
      </c>
      <c r="E898" s="18" t="s">
        <v>29</v>
      </c>
      <c r="F898" s="20" t="n">
        <v>6960</v>
      </c>
      <c r="G898" s="20" t="n">
        <v>870</v>
      </c>
      <c r="H898" s="18" t="n">
        <v>3</v>
      </c>
    </row>
    <row r="899" customFormat="false" ht="15" hidden="false" customHeight="true" outlineLevel="0" collapsed="false">
      <c r="A899" s="18" t="s">
        <v>926</v>
      </c>
      <c r="B899" s="19" t="n">
        <v>45350</v>
      </c>
      <c r="C899" s="18" t="s">
        <v>19</v>
      </c>
      <c r="D899" s="18" t="s">
        <v>46</v>
      </c>
      <c r="E899" s="18" t="s">
        <v>29</v>
      </c>
      <c r="F899" s="20" t="n">
        <v>42120</v>
      </c>
      <c r="G899" s="20" t="n">
        <v>7792.2</v>
      </c>
      <c r="H899" s="18" t="n">
        <v>4</v>
      </c>
    </row>
    <row r="900" customFormat="false" ht="15" hidden="false" customHeight="true" outlineLevel="0" collapsed="false">
      <c r="A900" s="18" t="s">
        <v>927</v>
      </c>
      <c r="B900" s="19" t="n">
        <v>45532</v>
      </c>
      <c r="C900" s="18" t="s">
        <v>27</v>
      </c>
      <c r="D900" s="18" t="s">
        <v>75</v>
      </c>
      <c r="E900" s="18" t="s">
        <v>29</v>
      </c>
      <c r="F900" s="20" t="n">
        <v>9625</v>
      </c>
      <c r="G900" s="20" t="n">
        <v>1530.38</v>
      </c>
      <c r="H900" s="18" t="n">
        <v>5</v>
      </c>
    </row>
    <row r="901" customFormat="false" ht="15" hidden="false" customHeight="true" outlineLevel="0" collapsed="false">
      <c r="A901" s="18" t="s">
        <v>928</v>
      </c>
      <c r="B901" s="19" t="n">
        <v>45336</v>
      </c>
      <c r="C901" s="18" t="s">
        <v>41</v>
      </c>
      <c r="D901" s="18" t="s">
        <v>93</v>
      </c>
      <c r="E901" s="18" t="s">
        <v>32</v>
      </c>
      <c r="F901" s="20" t="n">
        <v>22318</v>
      </c>
      <c r="G901" s="20" t="n">
        <v>3414.65</v>
      </c>
      <c r="H901" s="18" t="n">
        <v>2</v>
      </c>
    </row>
    <row r="902" customFormat="false" ht="15" hidden="false" customHeight="true" outlineLevel="0" collapsed="false">
      <c r="A902" s="18" t="s">
        <v>929</v>
      </c>
      <c r="B902" s="19" t="n">
        <v>45487</v>
      </c>
      <c r="C902" s="18" t="s">
        <v>23</v>
      </c>
      <c r="D902" s="18" t="s">
        <v>34</v>
      </c>
      <c r="E902" s="18" t="s">
        <v>25</v>
      </c>
      <c r="F902" s="20" t="n">
        <v>5276</v>
      </c>
      <c r="G902" s="20" t="n">
        <v>1756.91</v>
      </c>
      <c r="H902" s="18" t="n">
        <v>4</v>
      </c>
    </row>
    <row r="903" customFormat="false" ht="15" hidden="false" customHeight="true" outlineLevel="0" collapsed="false">
      <c r="A903" s="18" t="s">
        <v>930</v>
      </c>
      <c r="B903" s="19" t="n">
        <v>45622</v>
      </c>
      <c r="C903" s="18" t="s">
        <v>39</v>
      </c>
      <c r="D903" s="18" t="s">
        <v>42</v>
      </c>
      <c r="E903" s="18" t="s">
        <v>21</v>
      </c>
      <c r="F903" s="20" t="n">
        <v>12798</v>
      </c>
      <c r="G903" s="20" t="n">
        <v>1958.09</v>
      </c>
      <c r="H903" s="18" t="n">
        <v>2</v>
      </c>
    </row>
    <row r="904" customFormat="false" ht="15" hidden="false" customHeight="true" outlineLevel="0" collapsed="false">
      <c r="A904" s="18" t="s">
        <v>931</v>
      </c>
      <c r="B904" s="19" t="n">
        <v>45557</v>
      </c>
      <c r="C904" s="18" t="s">
        <v>19</v>
      </c>
      <c r="D904" s="18" t="s">
        <v>20</v>
      </c>
      <c r="E904" s="18" t="s">
        <v>21</v>
      </c>
      <c r="F904" s="20" t="n">
        <v>15844</v>
      </c>
      <c r="G904" s="20" t="n">
        <v>3137.11</v>
      </c>
      <c r="H904" s="18" t="n">
        <v>1</v>
      </c>
    </row>
    <row r="905" customFormat="false" ht="15" hidden="false" customHeight="true" outlineLevel="0" collapsed="false">
      <c r="A905" s="18" t="s">
        <v>932</v>
      </c>
      <c r="B905" s="19" t="n">
        <v>45380</v>
      </c>
      <c r="C905" s="18" t="s">
        <v>39</v>
      </c>
      <c r="D905" s="18" t="s">
        <v>42</v>
      </c>
      <c r="E905" s="18" t="s">
        <v>21</v>
      </c>
      <c r="F905" s="20" t="n">
        <v>92100</v>
      </c>
      <c r="G905" s="20" t="n">
        <v>20722.5</v>
      </c>
      <c r="H905" s="18" t="n">
        <v>10</v>
      </c>
    </row>
    <row r="906" customFormat="false" ht="15" hidden="false" customHeight="true" outlineLevel="0" collapsed="false">
      <c r="A906" s="18" t="s">
        <v>933</v>
      </c>
      <c r="B906" s="19" t="n">
        <v>45445</v>
      </c>
      <c r="C906" s="18" t="s">
        <v>23</v>
      </c>
      <c r="D906" s="18" t="s">
        <v>70</v>
      </c>
      <c r="E906" s="18" t="s">
        <v>21</v>
      </c>
      <c r="F906" s="20" t="n">
        <v>334269</v>
      </c>
      <c r="G906" s="20" t="n">
        <v>62174.03</v>
      </c>
      <c r="H906" s="18" t="n">
        <v>9</v>
      </c>
    </row>
    <row r="907" customFormat="false" ht="15" hidden="false" customHeight="true" outlineLevel="0" collapsed="false">
      <c r="A907" s="18" t="s">
        <v>934</v>
      </c>
      <c r="B907" s="19" t="n">
        <v>45455</v>
      </c>
      <c r="C907" s="18" t="s">
        <v>19</v>
      </c>
      <c r="D907" s="18" t="s">
        <v>106</v>
      </c>
      <c r="E907" s="18" t="s">
        <v>25</v>
      </c>
      <c r="F907" s="20" t="n">
        <v>3978</v>
      </c>
      <c r="G907" s="20" t="n">
        <v>1304.78</v>
      </c>
      <c r="H907" s="18" t="n">
        <v>2</v>
      </c>
    </row>
    <row r="908" customFormat="false" ht="15" hidden="false" customHeight="true" outlineLevel="0" collapsed="false">
      <c r="A908" s="18" t="s">
        <v>935</v>
      </c>
      <c r="B908" s="19" t="n">
        <v>45472</v>
      </c>
      <c r="C908" s="18" t="s">
        <v>19</v>
      </c>
      <c r="D908" s="18" t="s">
        <v>36</v>
      </c>
      <c r="E908" s="18" t="s">
        <v>25</v>
      </c>
      <c r="F908" s="20" t="n">
        <v>34524</v>
      </c>
      <c r="G908" s="20" t="n">
        <v>8907.19</v>
      </c>
      <c r="H908" s="18" t="n">
        <v>7</v>
      </c>
    </row>
    <row r="909" customFormat="false" ht="15" hidden="false" customHeight="true" outlineLevel="0" collapsed="false">
      <c r="A909" s="18" t="s">
        <v>936</v>
      </c>
      <c r="B909" s="19" t="n">
        <v>45617</v>
      </c>
      <c r="C909" s="18" t="s">
        <v>41</v>
      </c>
      <c r="D909" s="18" t="s">
        <v>70</v>
      </c>
      <c r="E909" s="18" t="s">
        <v>21</v>
      </c>
      <c r="F909" s="20" t="n">
        <v>34868</v>
      </c>
      <c r="G909" s="20" t="n">
        <v>7147.94</v>
      </c>
      <c r="H909" s="18" t="n">
        <v>1</v>
      </c>
    </row>
    <row r="910" customFormat="false" ht="15" hidden="false" customHeight="true" outlineLevel="0" collapsed="false">
      <c r="A910" s="18" t="s">
        <v>937</v>
      </c>
      <c r="B910" s="19" t="n">
        <v>45648</v>
      </c>
      <c r="C910" s="18" t="s">
        <v>19</v>
      </c>
      <c r="D910" s="18" t="s">
        <v>93</v>
      </c>
      <c r="E910" s="18" t="s">
        <v>32</v>
      </c>
      <c r="F910" s="20" t="n">
        <v>23174</v>
      </c>
      <c r="G910" s="20" t="n">
        <v>3568.8</v>
      </c>
      <c r="H910" s="18" t="n">
        <v>2</v>
      </c>
    </row>
    <row r="911" customFormat="false" ht="15" hidden="false" customHeight="true" outlineLevel="0" collapsed="false">
      <c r="A911" s="18" t="s">
        <v>938</v>
      </c>
      <c r="B911" s="19" t="n">
        <v>45435</v>
      </c>
      <c r="C911" s="18" t="s">
        <v>41</v>
      </c>
      <c r="D911" s="18" t="s">
        <v>106</v>
      </c>
      <c r="E911" s="18" t="s">
        <v>25</v>
      </c>
      <c r="F911" s="20" t="n">
        <v>10134</v>
      </c>
      <c r="G911" s="20" t="n">
        <v>2422.03</v>
      </c>
      <c r="H911" s="18" t="n">
        <v>6</v>
      </c>
    </row>
    <row r="912" customFormat="false" ht="15" hidden="false" customHeight="true" outlineLevel="0" collapsed="false">
      <c r="A912" s="18" t="s">
        <v>939</v>
      </c>
      <c r="B912" s="19" t="n">
        <v>45468</v>
      </c>
      <c r="C912" s="18" t="s">
        <v>39</v>
      </c>
      <c r="D912" s="18" t="s">
        <v>83</v>
      </c>
      <c r="E912" s="18" t="s">
        <v>21</v>
      </c>
      <c r="F912" s="20" t="n">
        <v>14340</v>
      </c>
      <c r="G912" s="20" t="n">
        <v>1778.16</v>
      </c>
      <c r="H912" s="18" t="n">
        <v>2</v>
      </c>
    </row>
    <row r="913" customFormat="false" ht="15" hidden="false" customHeight="true" outlineLevel="0" collapsed="false">
      <c r="A913" s="18" t="s">
        <v>940</v>
      </c>
      <c r="B913" s="19" t="n">
        <v>45375</v>
      </c>
      <c r="C913" s="18" t="s">
        <v>27</v>
      </c>
      <c r="D913" s="18" t="s">
        <v>88</v>
      </c>
      <c r="E913" s="18" t="s">
        <v>50</v>
      </c>
      <c r="F913" s="20" t="n">
        <v>1885</v>
      </c>
      <c r="G913" s="20" t="n">
        <v>637.13</v>
      </c>
      <c r="H913" s="18" t="n">
        <v>5</v>
      </c>
    </row>
    <row r="914" customFormat="false" ht="15" hidden="false" customHeight="true" outlineLevel="0" collapsed="false">
      <c r="A914" s="18" t="s">
        <v>941</v>
      </c>
      <c r="B914" s="19" t="n">
        <v>45652</v>
      </c>
      <c r="C914" s="18" t="s">
        <v>41</v>
      </c>
      <c r="D914" s="18" t="s">
        <v>64</v>
      </c>
      <c r="E914" s="18" t="s">
        <v>32</v>
      </c>
      <c r="F914" s="20" t="n">
        <v>115860</v>
      </c>
      <c r="G914" s="20" t="n">
        <v>20738.94</v>
      </c>
      <c r="H914" s="18" t="n">
        <v>4</v>
      </c>
    </row>
    <row r="915" customFormat="false" ht="15" hidden="false" customHeight="true" outlineLevel="0" collapsed="false">
      <c r="A915" s="18" t="s">
        <v>942</v>
      </c>
      <c r="B915" s="19" t="n">
        <v>45379</v>
      </c>
      <c r="C915" s="18" t="s">
        <v>23</v>
      </c>
      <c r="D915" s="18" t="s">
        <v>44</v>
      </c>
      <c r="E915" s="18" t="s">
        <v>32</v>
      </c>
      <c r="F915" s="20" t="n">
        <v>8495</v>
      </c>
      <c r="G915" s="20" t="n">
        <v>1078.87</v>
      </c>
      <c r="H915" s="18" t="n">
        <v>5</v>
      </c>
    </row>
    <row r="916" customFormat="false" ht="15" hidden="false" customHeight="true" outlineLevel="0" collapsed="false">
      <c r="A916" s="18" t="s">
        <v>943</v>
      </c>
      <c r="B916" s="19" t="n">
        <v>45618</v>
      </c>
      <c r="C916" s="18" t="s">
        <v>27</v>
      </c>
      <c r="D916" s="18" t="s">
        <v>58</v>
      </c>
      <c r="E916" s="18" t="s">
        <v>50</v>
      </c>
      <c r="F916" s="20" t="n">
        <v>1188</v>
      </c>
      <c r="G916" s="20" t="n">
        <v>415.8</v>
      </c>
      <c r="H916" s="18" t="n">
        <v>9</v>
      </c>
    </row>
    <row r="917" customFormat="false" ht="15" hidden="false" customHeight="true" outlineLevel="0" collapsed="false">
      <c r="A917" s="18" t="s">
        <v>944</v>
      </c>
      <c r="B917" s="19" t="n">
        <v>45656</v>
      </c>
      <c r="C917" s="18" t="s">
        <v>27</v>
      </c>
      <c r="D917" s="18" t="s">
        <v>55</v>
      </c>
      <c r="E917" s="18" t="s">
        <v>32</v>
      </c>
      <c r="F917" s="20" t="n">
        <v>113230</v>
      </c>
      <c r="G917" s="20" t="n">
        <v>15399.28</v>
      </c>
      <c r="H917" s="18" t="n">
        <v>5</v>
      </c>
    </row>
    <row r="918" customFormat="false" ht="15" hidden="false" customHeight="true" outlineLevel="0" collapsed="false">
      <c r="A918" s="18" t="s">
        <v>945</v>
      </c>
      <c r="B918" s="19" t="n">
        <v>45378</v>
      </c>
      <c r="C918" s="18" t="s">
        <v>27</v>
      </c>
      <c r="D918" s="18" t="s">
        <v>46</v>
      </c>
      <c r="E918" s="18" t="s">
        <v>29</v>
      </c>
      <c r="F918" s="20" t="n">
        <v>94952</v>
      </c>
      <c r="G918" s="20" t="n">
        <v>10539.67</v>
      </c>
      <c r="H918" s="18" t="n">
        <v>8</v>
      </c>
    </row>
    <row r="919" customFormat="false" ht="15" hidden="false" customHeight="true" outlineLevel="0" collapsed="false">
      <c r="A919" s="18" t="s">
        <v>946</v>
      </c>
      <c r="B919" s="19" t="n">
        <v>45399</v>
      </c>
      <c r="C919" s="18" t="s">
        <v>39</v>
      </c>
      <c r="D919" s="18" t="s">
        <v>46</v>
      </c>
      <c r="E919" s="18" t="s">
        <v>29</v>
      </c>
      <c r="F919" s="20" t="n">
        <v>34563</v>
      </c>
      <c r="G919" s="20" t="n">
        <v>6186.78</v>
      </c>
      <c r="H919" s="18" t="n">
        <v>3</v>
      </c>
    </row>
    <row r="920" customFormat="false" ht="15" hidden="false" customHeight="true" outlineLevel="0" collapsed="false">
      <c r="A920" s="18" t="s">
        <v>947</v>
      </c>
      <c r="B920" s="19" t="n">
        <v>45430</v>
      </c>
      <c r="C920" s="18" t="s">
        <v>23</v>
      </c>
      <c r="D920" s="18" t="s">
        <v>24</v>
      </c>
      <c r="E920" s="18" t="s">
        <v>25</v>
      </c>
      <c r="F920" s="20" t="n">
        <v>19674</v>
      </c>
      <c r="G920" s="20" t="n">
        <v>4859.48</v>
      </c>
      <c r="H920" s="18" t="n">
        <v>9</v>
      </c>
    </row>
    <row r="921" customFormat="false" ht="15" hidden="false" customHeight="true" outlineLevel="0" collapsed="false">
      <c r="A921" s="18" t="s">
        <v>948</v>
      </c>
      <c r="B921" s="19" t="n">
        <v>45646</v>
      </c>
      <c r="C921" s="18" t="s">
        <v>23</v>
      </c>
      <c r="D921" s="18" t="s">
        <v>96</v>
      </c>
      <c r="E921" s="18" t="s">
        <v>50</v>
      </c>
      <c r="F921" s="20" t="n">
        <v>150</v>
      </c>
      <c r="G921" s="20" t="n">
        <v>57.75</v>
      </c>
      <c r="H921" s="18" t="n">
        <v>5</v>
      </c>
    </row>
    <row r="922" customFormat="false" ht="15" hidden="false" customHeight="true" outlineLevel="0" collapsed="false">
      <c r="A922" s="18" t="s">
        <v>949</v>
      </c>
      <c r="B922" s="19" t="n">
        <v>45570</v>
      </c>
      <c r="C922" s="18" t="s">
        <v>27</v>
      </c>
      <c r="D922" s="18" t="s">
        <v>62</v>
      </c>
      <c r="E922" s="18" t="s">
        <v>50</v>
      </c>
      <c r="F922" s="20" t="n">
        <v>528</v>
      </c>
      <c r="G922" s="20" t="n">
        <v>209.09</v>
      </c>
      <c r="H922" s="18" t="n">
        <v>6</v>
      </c>
    </row>
    <row r="923" customFormat="false" ht="15" hidden="false" customHeight="true" outlineLevel="0" collapsed="false">
      <c r="A923" s="18" t="s">
        <v>950</v>
      </c>
      <c r="B923" s="19" t="n">
        <v>45573</v>
      </c>
      <c r="C923" s="18" t="s">
        <v>19</v>
      </c>
      <c r="D923" s="18" t="s">
        <v>55</v>
      </c>
      <c r="E923" s="18" t="s">
        <v>32</v>
      </c>
      <c r="F923" s="20" t="n">
        <v>158490</v>
      </c>
      <c r="G923" s="20" t="n">
        <v>27894.24</v>
      </c>
      <c r="H923" s="18" t="n">
        <v>6</v>
      </c>
    </row>
    <row r="924" customFormat="false" ht="15" hidden="false" customHeight="true" outlineLevel="0" collapsed="false">
      <c r="A924" s="18" t="s">
        <v>951</v>
      </c>
      <c r="B924" s="19" t="n">
        <v>45443</v>
      </c>
      <c r="C924" s="18" t="s">
        <v>19</v>
      </c>
      <c r="D924" s="18" t="s">
        <v>49</v>
      </c>
      <c r="E924" s="18" t="s">
        <v>50</v>
      </c>
      <c r="F924" s="20" t="n">
        <v>483</v>
      </c>
      <c r="G924" s="20" t="n">
        <v>167.6</v>
      </c>
      <c r="H924" s="18" t="n">
        <v>7</v>
      </c>
    </row>
    <row r="925" customFormat="false" ht="15" hidden="false" customHeight="true" outlineLevel="0" collapsed="false">
      <c r="A925" s="18" t="s">
        <v>952</v>
      </c>
      <c r="B925" s="19" t="n">
        <v>45381</v>
      </c>
      <c r="C925" s="18" t="s">
        <v>27</v>
      </c>
      <c r="D925" s="18" t="s">
        <v>62</v>
      </c>
      <c r="E925" s="18" t="s">
        <v>50</v>
      </c>
      <c r="F925" s="20" t="n">
        <v>91</v>
      </c>
      <c r="G925" s="20" t="n">
        <v>33.67</v>
      </c>
      <c r="H925" s="18" t="n">
        <v>1</v>
      </c>
    </row>
    <row r="926" customFormat="false" ht="15" hidden="false" customHeight="true" outlineLevel="0" collapsed="false">
      <c r="A926" s="18" t="s">
        <v>953</v>
      </c>
      <c r="B926" s="19" t="n">
        <v>45419</v>
      </c>
      <c r="C926" s="18" t="s">
        <v>41</v>
      </c>
      <c r="D926" s="18" t="s">
        <v>83</v>
      </c>
      <c r="E926" s="18" t="s">
        <v>21</v>
      </c>
      <c r="F926" s="20" t="n">
        <v>44506</v>
      </c>
      <c r="G926" s="20" t="n">
        <v>7922.07</v>
      </c>
      <c r="H926" s="18" t="n">
        <v>7</v>
      </c>
    </row>
    <row r="928" customFormat="false" ht="15" hidden="false" customHeight="true" outlineLevel="0" collapsed="false">
      <c r="A928" s="21" t="s">
        <v>954</v>
      </c>
    </row>
  </sheetData>
  <autoFilter ref="A1:H9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1" min="11" style="1" width="10"/>
  </cols>
  <sheetData>
    <row r="1" customFormat="false" ht="15" hidden="false" customHeight="true" outlineLevel="0" collapsed="false">
      <c r="A1" s="17" t="s">
        <v>955</v>
      </c>
      <c r="B1" s="17" t="s">
        <v>956</v>
      </c>
      <c r="C1" s="17" t="s">
        <v>12</v>
      </c>
      <c r="D1" s="17" t="s">
        <v>13</v>
      </c>
      <c r="E1" s="17" t="s">
        <v>14</v>
      </c>
      <c r="F1" s="17" t="s">
        <v>957</v>
      </c>
      <c r="G1" s="17" t="s">
        <v>16</v>
      </c>
      <c r="H1" s="17" t="s">
        <v>17</v>
      </c>
      <c r="I1" s="17" t="s">
        <v>958</v>
      </c>
      <c r="J1" s="17" t="s">
        <v>959</v>
      </c>
      <c r="K1" s="17" t="s">
        <v>960</v>
      </c>
    </row>
    <row r="2" customFormat="false" ht="15" hidden="false" customHeight="true" outlineLevel="0" collapsed="false">
      <c r="A2" s="18" t="s">
        <v>18</v>
      </c>
      <c r="B2" s="19" t="n">
        <v>45332</v>
      </c>
      <c r="C2" s="18" t="s">
        <v>19</v>
      </c>
      <c r="D2" s="18" t="s">
        <v>20</v>
      </c>
      <c r="E2" s="18" t="s">
        <v>21</v>
      </c>
      <c r="F2" s="20" t="n">
        <v>67464</v>
      </c>
      <c r="G2" s="20" t="n">
        <v>9175.1</v>
      </c>
      <c r="H2" s="18" t="n">
        <v>9</v>
      </c>
      <c r="I2" s="20" t="n">
        <f aca="false">F2</f>
        <v>67464</v>
      </c>
      <c r="J2" s="22" t="n">
        <f aca="false">IFERROR(G2/F2,0)</f>
        <v>0.135999940709119</v>
      </c>
      <c r="K2" s="23" t="n">
        <f aca="false">MONTH(B2)</f>
        <v>2</v>
      </c>
    </row>
    <row r="3" customFormat="false" ht="15" hidden="false" customHeight="true" outlineLevel="0" collapsed="false">
      <c r="A3" s="18" t="s">
        <v>22</v>
      </c>
      <c r="B3" s="19" t="n">
        <v>45614</v>
      </c>
      <c r="C3" s="18" t="s">
        <v>23</v>
      </c>
      <c r="D3" s="18" t="s">
        <v>24</v>
      </c>
      <c r="E3" s="18" t="s">
        <v>25</v>
      </c>
      <c r="F3" s="20" t="n">
        <v>8212</v>
      </c>
      <c r="G3" s="20" t="n">
        <v>1494.58</v>
      </c>
      <c r="H3" s="18" t="n">
        <v>4</v>
      </c>
      <c r="I3" s="20" t="n">
        <f aca="false">F3</f>
        <v>8212</v>
      </c>
      <c r="J3" s="22" t="n">
        <f aca="false">IFERROR(G3/F3,0)</f>
        <v>0.18199951290794</v>
      </c>
      <c r="K3" s="23" t="n">
        <f aca="false">MONTH(B3)</f>
        <v>11</v>
      </c>
    </row>
    <row r="4" customFormat="false" ht="15" hidden="false" customHeight="true" outlineLevel="0" collapsed="false">
      <c r="A4" s="18" t="s">
        <v>26</v>
      </c>
      <c r="B4" s="19" t="n">
        <v>45381</v>
      </c>
      <c r="C4" s="18" t="s">
        <v>27</v>
      </c>
      <c r="D4" s="18" t="s">
        <v>28</v>
      </c>
      <c r="E4" s="18" t="s">
        <v>29</v>
      </c>
      <c r="F4" s="20" t="n">
        <v>13152</v>
      </c>
      <c r="G4" s="20" t="n">
        <v>1407.26</v>
      </c>
      <c r="H4" s="18" t="n">
        <v>2</v>
      </c>
      <c r="I4" s="20" t="n">
        <f aca="false">F4</f>
        <v>13152</v>
      </c>
      <c r="J4" s="22" t="n">
        <f aca="false">IFERROR(G4/F4,0)</f>
        <v>0.106999695863747</v>
      </c>
      <c r="K4" s="23" t="n">
        <f aca="false">MONTH(B4)</f>
        <v>3</v>
      </c>
    </row>
    <row r="5" customFormat="false" ht="15" hidden="false" customHeight="true" outlineLevel="0" collapsed="false">
      <c r="A5" s="18" t="s">
        <v>30</v>
      </c>
      <c r="B5" s="19" t="n">
        <v>45626</v>
      </c>
      <c r="C5" s="18" t="s">
        <v>23</v>
      </c>
      <c r="D5" s="18" t="s">
        <v>31</v>
      </c>
      <c r="E5" s="18" t="s">
        <v>32</v>
      </c>
      <c r="F5" s="20" t="n">
        <v>491580</v>
      </c>
      <c r="G5" s="20" t="n">
        <v>85043.34</v>
      </c>
      <c r="H5" s="18" t="n">
        <v>9</v>
      </c>
      <c r="I5" s="20" t="n">
        <f aca="false">F5</f>
        <v>491580</v>
      </c>
      <c r="J5" s="22" t="n">
        <f aca="false">IFERROR(G5/F5,0)</f>
        <v>0.173</v>
      </c>
      <c r="K5" s="23" t="n">
        <f aca="false">MONTH(B5)</f>
        <v>11</v>
      </c>
    </row>
    <row r="6" customFormat="false" ht="15" hidden="false" customHeight="true" outlineLevel="0" collapsed="false">
      <c r="A6" s="18" t="s">
        <v>33</v>
      </c>
      <c r="B6" s="19" t="n">
        <v>45556</v>
      </c>
      <c r="C6" s="18" t="s">
        <v>23</v>
      </c>
      <c r="D6" s="18" t="s">
        <v>34</v>
      </c>
      <c r="E6" s="18" t="s">
        <v>25</v>
      </c>
      <c r="F6" s="20" t="n">
        <v>6010</v>
      </c>
      <c r="G6" s="20" t="n">
        <v>1045.74</v>
      </c>
      <c r="H6" s="18" t="n">
        <v>10</v>
      </c>
      <c r="I6" s="20" t="n">
        <f aca="false">F6</f>
        <v>6010</v>
      </c>
      <c r="J6" s="22" t="n">
        <f aca="false">IFERROR(G6/F6,0)</f>
        <v>0.174</v>
      </c>
      <c r="K6" s="23" t="n">
        <f aca="false">MONTH(B6)</f>
        <v>9</v>
      </c>
    </row>
    <row r="7" customFormat="false" ht="15" hidden="false" customHeight="true" outlineLevel="0" collapsed="false">
      <c r="A7" s="18" t="s">
        <v>35</v>
      </c>
      <c r="B7" s="19" t="n">
        <v>45596</v>
      </c>
      <c r="C7" s="18" t="s">
        <v>27</v>
      </c>
      <c r="D7" s="18" t="s">
        <v>36</v>
      </c>
      <c r="E7" s="18" t="s">
        <v>25</v>
      </c>
      <c r="F7" s="20" t="n">
        <v>10452</v>
      </c>
      <c r="G7" s="20" t="n">
        <v>2895.2</v>
      </c>
      <c r="H7" s="18" t="n">
        <v>6</v>
      </c>
      <c r="I7" s="20" t="n">
        <f aca="false">F7</f>
        <v>10452</v>
      </c>
      <c r="J7" s="22" t="n">
        <f aca="false">IFERROR(G7/F7,0)</f>
        <v>0.276999617298125</v>
      </c>
      <c r="K7" s="23" t="n">
        <f aca="false">MONTH(B7)</f>
        <v>10</v>
      </c>
    </row>
    <row r="8" customFormat="false" ht="15" hidden="false" customHeight="true" outlineLevel="0" collapsed="false">
      <c r="A8" s="18" t="s">
        <v>37</v>
      </c>
      <c r="B8" s="19" t="n">
        <v>45429</v>
      </c>
      <c r="C8" s="18" t="s">
        <v>19</v>
      </c>
      <c r="D8" s="18" t="s">
        <v>31</v>
      </c>
      <c r="E8" s="18" t="s">
        <v>32</v>
      </c>
      <c r="F8" s="20" t="n">
        <v>531408</v>
      </c>
      <c r="G8" s="20" t="n">
        <v>84493.87</v>
      </c>
      <c r="H8" s="18" t="n">
        <v>6</v>
      </c>
      <c r="I8" s="20" t="n">
        <f aca="false">F8</f>
        <v>531408</v>
      </c>
      <c r="J8" s="22" t="n">
        <f aca="false">IFERROR(G8/F8,0)</f>
        <v>0.158999996236413</v>
      </c>
      <c r="K8" s="23" t="n">
        <f aca="false">MONTH(B8)</f>
        <v>5</v>
      </c>
    </row>
    <row r="9" customFormat="false" ht="15" hidden="false" customHeight="true" outlineLevel="0" collapsed="false">
      <c r="A9" s="18" t="s">
        <v>38</v>
      </c>
      <c r="B9" s="19" t="n">
        <v>45312</v>
      </c>
      <c r="C9" s="18" t="s">
        <v>39</v>
      </c>
      <c r="D9" s="18" t="s">
        <v>36</v>
      </c>
      <c r="E9" s="18" t="s">
        <v>25</v>
      </c>
      <c r="F9" s="20" t="n">
        <v>27184</v>
      </c>
      <c r="G9" s="20" t="n">
        <v>4430.99</v>
      </c>
      <c r="H9" s="18" t="n">
        <v>8</v>
      </c>
      <c r="I9" s="20" t="n">
        <f aca="false">F9</f>
        <v>27184</v>
      </c>
      <c r="J9" s="22" t="n">
        <f aca="false">IFERROR(G9/F9,0)</f>
        <v>0.16299992642731</v>
      </c>
      <c r="K9" s="23" t="n">
        <f aca="false">MONTH(B9)</f>
        <v>1</v>
      </c>
    </row>
    <row r="10" customFormat="false" ht="15" hidden="false" customHeight="true" outlineLevel="0" collapsed="false">
      <c r="A10" s="18" t="s">
        <v>40</v>
      </c>
      <c r="B10" s="19" t="n">
        <v>45452</v>
      </c>
      <c r="C10" s="18" t="s">
        <v>41</v>
      </c>
      <c r="D10" s="18" t="s">
        <v>42</v>
      </c>
      <c r="E10" s="18" t="s">
        <v>21</v>
      </c>
      <c r="F10" s="20" t="n">
        <v>29580</v>
      </c>
      <c r="G10" s="20" t="n">
        <v>4259.52</v>
      </c>
      <c r="H10" s="18" t="n">
        <v>5</v>
      </c>
      <c r="I10" s="20" t="n">
        <f aca="false">F10</f>
        <v>29580</v>
      </c>
      <c r="J10" s="22" t="n">
        <f aca="false">IFERROR(G10/F10,0)</f>
        <v>0.144</v>
      </c>
      <c r="K10" s="23" t="n">
        <f aca="false">MONTH(B10)</f>
        <v>6</v>
      </c>
    </row>
    <row r="11" customFormat="false" ht="15" hidden="false" customHeight="true" outlineLevel="0" collapsed="false">
      <c r="A11" s="18" t="s">
        <v>43</v>
      </c>
      <c r="B11" s="19" t="n">
        <v>45484</v>
      </c>
      <c r="C11" s="18" t="s">
        <v>39</v>
      </c>
      <c r="D11" s="18" t="s">
        <v>44</v>
      </c>
      <c r="E11" s="18" t="s">
        <v>32</v>
      </c>
      <c r="F11" s="20" t="n">
        <v>6768</v>
      </c>
      <c r="G11" s="20" t="n">
        <v>1028.74</v>
      </c>
      <c r="H11" s="18" t="n">
        <v>3</v>
      </c>
      <c r="I11" s="20" t="n">
        <f aca="false">F11</f>
        <v>6768</v>
      </c>
      <c r="J11" s="22" t="n">
        <f aca="false">IFERROR(G11/F11,0)</f>
        <v>0.152000591016548</v>
      </c>
      <c r="K11" s="23" t="n">
        <f aca="false">MONTH(B11)</f>
        <v>7</v>
      </c>
    </row>
    <row r="12" customFormat="false" ht="15" hidden="false" customHeight="true" outlineLevel="0" collapsed="false">
      <c r="A12" s="18" t="s">
        <v>45</v>
      </c>
      <c r="B12" s="19" t="n">
        <v>45580</v>
      </c>
      <c r="C12" s="18" t="s">
        <v>39</v>
      </c>
      <c r="D12" s="18" t="s">
        <v>46</v>
      </c>
      <c r="E12" s="18" t="s">
        <v>29</v>
      </c>
      <c r="F12" s="20" t="n">
        <v>46256</v>
      </c>
      <c r="G12" s="20" t="n">
        <v>7123.42</v>
      </c>
      <c r="H12" s="18" t="n">
        <v>4</v>
      </c>
      <c r="I12" s="20" t="n">
        <f aca="false">F12</f>
        <v>46256</v>
      </c>
      <c r="J12" s="22" t="n">
        <f aca="false">IFERROR(G12/F12,0)</f>
        <v>0.153999913524732</v>
      </c>
      <c r="K12" s="23" t="n">
        <f aca="false">MONTH(B12)</f>
        <v>10</v>
      </c>
    </row>
    <row r="13" customFormat="false" ht="15" hidden="false" customHeight="true" outlineLevel="0" collapsed="false">
      <c r="A13" s="18" t="s">
        <v>47</v>
      </c>
      <c r="B13" s="19" t="n">
        <v>45540</v>
      </c>
      <c r="C13" s="18" t="s">
        <v>19</v>
      </c>
      <c r="D13" s="18" t="s">
        <v>34</v>
      </c>
      <c r="E13" s="18" t="s">
        <v>25</v>
      </c>
      <c r="F13" s="20" t="n">
        <v>394</v>
      </c>
      <c r="G13" s="20" t="n">
        <v>66.98</v>
      </c>
      <c r="H13" s="18" t="n">
        <v>1</v>
      </c>
      <c r="I13" s="20" t="n">
        <f aca="false">F13</f>
        <v>394</v>
      </c>
      <c r="J13" s="22" t="n">
        <f aca="false">IFERROR(G13/F13,0)</f>
        <v>0.17</v>
      </c>
      <c r="K13" s="23" t="n">
        <f aca="false">MONTH(B13)</f>
        <v>9</v>
      </c>
    </row>
    <row r="14" customFormat="false" ht="15" hidden="false" customHeight="true" outlineLevel="0" collapsed="false">
      <c r="A14" s="18" t="s">
        <v>48</v>
      </c>
      <c r="B14" s="19" t="n">
        <v>45478</v>
      </c>
      <c r="C14" s="18" t="s">
        <v>19</v>
      </c>
      <c r="D14" s="18" t="s">
        <v>49</v>
      </c>
      <c r="E14" s="18" t="s">
        <v>50</v>
      </c>
      <c r="F14" s="20" t="n">
        <v>60</v>
      </c>
      <c r="G14" s="20" t="n">
        <v>15.78</v>
      </c>
      <c r="H14" s="18" t="n">
        <v>3</v>
      </c>
      <c r="I14" s="20" t="n">
        <f aca="false">F14</f>
        <v>60</v>
      </c>
      <c r="J14" s="22" t="n">
        <f aca="false">IFERROR(G14/F14,0)</f>
        <v>0.263</v>
      </c>
      <c r="K14" s="23" t="n">
        <f aca="false">MONTH(B14)</f>
        <v>7</v>
      </c>
    </row>
    <row r="15" customFormat="false" ht="15" hidden="false" customHeight="true" outlineLevel="0" collapsed="false">
      <c r="A15" s="18" t="s">
        <v>51</v>
      </c>
      <c r="B15" s="19" t="n">
        <v>45492</v>
      </c>
      <c r="C15" s="18" t="s">
        <v>23</v>
      </c>
      <c r="D15" s="18" t="s">
        <v>52</v>
      </c>
      <c r="E15" s="18" t="s">
        <v>32</v>
      </c>
      <c r="F15" s="20" t="n">
        <v>22098</v>
      </c>
      <c r="G15" s="20" t="n">
        <v>3646.17</v>
      </c>
      <c r="H15" s="18" t="n">
        <v>6</v>
      </c>
      <c r="I15" s="20" t="n">
        <f aca="false">F15</f>
        <v>22098</v>
      </c>
      <c r="J15" s="22" t="n">
        <f aca="false">IFERROR(G15/F15,0)</f>
        <v>0.165</v>
      </c>
      <c r="K15" s="23" t="n">
        <f aca="false">MONTH(B15)</f>
        <v>7</v>
      </c>
    </row>
    <row r="16" customFormat="false" ht="15" hidden="false" customHeight="true" outlineLevel="0" collapsed="false">
      <c r="A16" s="18" t="s">
        <v>53</v>
      </c>
      <c r="B16" s="19" t="n">
        <v>45493</v>
      </c>
      <c r="C16" s="18" t="s">
        <v>23</v>
      </c>
      <c r="D16" s="18" t="s">
        <v>46</v>
      </c>
      <c r="E16" s="18" t="s">
        <v>29</v>
      </c>
      <c r="F16" s="20" t="n">
        <v>4875</v>
      </c>
      <c r="G16" s="20" t="n">
        <v>799.5</v>
      </c>
      <c r="H16" s="18" t="n">
        <v>1</v>
      </c>
      <c r="I16" s="20" t="n">
        <f aca="false">F16</f>
        <v>4875</v>
      </c>
      <c r="J16" s="22" t="n">
        <f aca="false">IFERROR(G16/F16,0)</f>
        <v>0.164</v>
      </c>
      <c r="K16" s="23" t="n">
        <f aca="false">MONTH(B16)</f>
        <v>7</v>
      </c>
    </row>
    <row r="17" customFormat="false" ht="15" hidden="false" customHeight="true" outlineLevel="0" collapsed="false">
      <c r="A17" s="18" t="s">
        <v>54</v>
      </c>
      <c r="B17" s="19" t="n">
        <v>45536</v>
      </c>
      <c r="C17" s="18" t="s">
        <v>41</v>
      </c>
      <c r="D17" s="18" t="s">
        <v>55</v>
      </c>
      <c r="E17" s="18" t="s">
        <v>32</v>
      </c>
      <c r="F17" s="20" t="n">
        <v>309589</v>
      </c>
      <c r="G17" s="20" t="n">
        <v>26934.24</v>
      </c>
      <c r="H17" s="18" t="n">
        <v>7</v>
      </c>
      <c r="I17" s="20" t="n">
        <f aca="false">F17</f>
        <v>309589</v>
      </c>
      <c r="J17" s="22" t="n">
        <f aca="false">IFERROR(G17/F17,0)</f>
        <v>0.0869999903097332</v>
      </c>
      <c r="K17" s="23" t="n">
        <f aca="false">MONTH(B17)</f>
        <v>9</v>
      </c>
    </row>
    <row r="18" customFormat="false" ht="15" hidden="false" customHeight="true" outlineLevel="0" collapsed="false">
      <c r="A18" s="18" t="s">
        <v>56</v>
      </c>
      <c r="B18" s="19" t="n">
        <v>45390</v>
      </c>
      <c r="C18" s="18" t="s">
        <v>23</v>
      </c>
      <c r="D18" s="18" t="s">
        <v>28</v>
      </c>
      <c r="E18" s="18" t="s">
        <v>29</v>
      </c>
      <c r="F18" s="20" t="n">
        <v>24515</v>
      </c>
      <c r="G18" s="20" t="n">
        <v>3113.41</v>
      </c>
      <c r="H18" s="18" t="n">
        <v>5</v>
      </c>
      <c r="I18" s="20" t="n">
        <f aca="false">F18</f>
        <v>24515</v>
      </c>
      <c r="J18" s="22" t="n">
        <f aca="false">IFERROR(G18/F18,0)</f>
        <v>0.127000203956761</v>
      </c>
      <c r="K18" s="23" t="n">
        <f aca="false">MONTH(B18)</f>
        <v>4</v>
      </c>
    </row>
    <row r="19" customFormat="false" ht="15" hidden="false" customHeight="true" outlineLevel="0" collapsed="false">
      <c r="A19" s="18" t="s">
        <v>57</v>
      </c>
      <c r="B19" s="19" t="n">
        <v>45438</v>
      </c>
      <c r="C19" s="18" t="s">
        <v>23</v>
      </c>
      <c r="D19" s="18" t="s">
        <v>58</v>
      </c>
      <c r="E19" s="18" t="s">
        <v>50</v>
      </c>
      <c r="F19" s="20" t="n">
        <v>441</v>
      </c>
      <c r="G19" s="20" t="n">
        <v>122.16</v>
      </c>
      <c r="H19" s="18" t="n">
        <v>7</v>
      </c>
      <c r="I19" s="20" t="n">
        <f aca="false">F19</f>
        <v>441</v>
      </c>
      <c r="J19" s="22" t="n">
        <f aca="false">IFERROR(G19/F19,0)</f>
        <v>0.277006802721088</v>
      </c>
      <c r="K19" s="23" t="n">
        <f aca="false">MONTH(B19)</f>
        <v>5</v>
      </c>
    </row>
    <row r="20" customFormat="false" ht="15" hidden="false" customHeight="true" outlineLevel="0" collapsed="false">
      <c r="A20" s="18" t="s">
        <v>59</v>
      </c>
      <c r="B20" s="19" t="n">
        <v>45614</v>
      </c>
      <c r="C20" s="18" t="s">
        <v>23</v>
      </c>
      <c r="D20" s="18" t="s">
        <v>20</v>
      </c>
      <c r="E20" s="18" t="s">
        <v>21</v>
      </c>
      <c r="F20" s="20" t="n">
        <v>77693</v>
      </c>
      <c r="G20" s="20" t="n">
        <v>13363.2</v>
      </c>
      <c r="H20" s="18" t="n">
        <v>7</v>
      </c>
      <c r="I20" s="20" t="n">
        <f aca="false">F20</f>
        <v>77693</v>
      </c>
      <c r="J20" s="22" t="n">
        <f aca="false">IFERROR(G20/F20,0)</f>
        <v>0.17200005148469</v>
      </c>
      <c r="K20" s="23" t="n">
        <f aca="false">MONTH(B20)</f>
        <v>11</v>
      </c>
    </row>
    <row r="21" customFormat="false" ht="15" hidden="false" customHeight="true" outlineLevel="0" collapsed="false">
      <c r="A21" s="18" t="s">
        <v>60</v>
      </c>
      <c r="B21" s="19" t="n">
        <v>45578</v>
      </c>
      <c r="C21" s="18" t="s">
        <v>23</v>
      </c>
      <c r="D21" s="18" t="s">
        <v>58</v>
      </c>
      <c r="E21" s="18" t="s">
        <v>50</v>
      </c>
      <c r="F21" s="20" t="n">
        <v>804</v>
      </c>
      <c r="G21" s="20" t="n">
        <v>205.02</v>
      </c>
      <c r="H21" s="18" t="n">
        <v>6</v>
      </c>
      <c r="I21" s="20" t="n">
        <f aca="false">F21</f>
        <v>804</v>
      </c>
      <c r="J21" s="22" t="n">
        <f aca="false">IFERROR(G21/F21,0)</f>
        <v>0.255</v>
      </c>
      <c r="K21" s="23" t="n">
        <f aca="false">MONTH(B21)</f>
        <v>10</v>
      </c>
    </row>
    <row r="22" customFormat="false" ht="15" hidden="false" customHeight="true" outlineLevel="0" collapsed="false">
      <c r="A22" s="18" t="s">
        <v>61</v>
      </c>
      <c r="B22" s="19" t="n">
        <v>45407</v>
      </c>
      <c r="C22" s="18" t="s">
        <v>39</v>
      </c>
      <c r="D22" s="18" t="s">
        <v>62</v>
      </c>
      <c r="E22" s="18" t="s">
        <v>50</v>
      </c>
      <c r="F22" s="20" t="n">
        <v>96</v>
      </c>
      <c r="G22" s="20" t="n">
        <v>24.86</v>
      </c>
      <c r="H22" s="18" t="n">
        <v>2</v>
      </c>
      <c r="I22" s="20" t="n">
        <f aca="false">F22</f>
        <v>96</v>
      </c>
      <c r="J22" s="22" t="n">
        <f aca="false">IFERROR(G22/F22,0)</f>
        <v>0.258958333333333</v>
      </c>
      <c r="K22" s="23" t="n">
        <f aca="false">MONTH(B22)</f>
        <v>4</v>
      </c>
    </row>
    <row r="23" customFormat="false" ht="15" hidden="false" customHeight="true" outlineLevel="0" collapsed="false">
      <c r="A23" s="18" t="s">
        <v>63</v>
      </c>
      <c r="B23" s="19" t="n">
        <v>45622</v>
      </c>
      <c r="C23" s="18" t="s">
        <v>19</v>
      </c>
      <c r="D23" s="18" t="s">
        <v>64</v>
      </c>
      <c r="E23" s="18" t="s">
        <v>32</v>
      </c>
      <c r="F23" s="20" t="n">
        <v>196560</v>
      </c>
      <c r="G23" s="20" t="n">
        <v>19459.44</v>
      </c>
      <c r="H23" s="18" t="n">
        <v>7</v>
      </c>
      <c r="I23" s="20" t="n">
        <f aca="false">F23</f>
        <v>196560</v>
      </c>
      <c r="J23" s="22" t="n">
        <f aca="false">IFERROR(G23/F23,0)</f>
        <v>0.099</v>
      </c>
      <c r="K23" s="23" t="n">
        <f aca="false">MONTH(B23)</f>
        <v>11</v>
      </c>
    </row>
    <row r="24" customFormat="false" ht="15" hidden="false" customHeight="true" outlineLevel="0" collapsed="false">
      <c r="A24" s="18" t="s">
        <v>65</v>
      </c>
      <c r="B24" s="19" t="n">
        <v>45421</v>
      </c>
      <c r="C24" s="18" t="s">
        <v>39</v>
      </c>
      <c r="D24" s="18" t="s">
        <v>52</v>
      </c>
      <c r="E24" s="18" t="s">
        <v>32</v>
      </c>
      <c r="F24" s="20" t="n">
        <v>18888</v>
      </c>
      <c r="G24" s="20" t="n">
        <v>3022.08</v>
      </c>
      <c r="H24" s="18" t="n">
        <v>3</v>
      </c>
      <c r="I24" s="20" t="n">
        <f aca="false">F24</f>
        <v>18888</v>
      </c>
      <c r="J24" s="22" t="n">
        <f aca="false">IFERROR(G24/F24,0)</f>
        <v>0.16</v>
      </c>
      <c r="K24" s="23" t="n">
        <f aca="false">MONTH(B24)</f>
        <v>5</v>
      </c>
    </row>
    <row r="25" customFormat="false" ht="15" hidden="false" customHeight="true" outlineLevel="0" collapsed="false">
      <c r="A25" s="18" t="s">
        <v>66</v>
      </c>
      <c r="B25" s="19" t="n">
        <v>45412</v>
      </c>
      <c r="C25" s="18" t="s">
        <v>19</v>
      </c>
      <c r="D25" s="18" t="s">
        <v>52</v>
      </c>
      <c r="E25" s="18" t="s">
        <v>32</v>
      </c>
      <c r="F25" s="20" t="n">
        <v>31560</v>
      </c>
      <c r="G25" s="20" t="n">
        <v>5365.2</v>
      </c>
      <c r="H25" s="18" t="n">
        <v>6</v>
      </c>
      <c r="I25" s="20" t="n">
        <f aca="false">F25</f>
        <v>31560</v>
      </c>
      <c r="J25" s="22" t="n">
        <f aca="false">IFERROR(G25/F25,0)</f>
        <v>0.17</v>
      </c>
      <c r="K25" s="23" t="n">
        <f aca="false">MONTH(B25)</f>
        <v>4</v>
      </c>
    </row>
    <row r="26" customFormat="false" ht="15" hidden="false" customHeight="true" outlineLevel="0" collapsed="false">
      <c r="A26" s="18" t="s">
        <v>67</v>
      </c>
      <c r="B26" s="19" t="n">
        <v>45636</v>
      </c>
      <c r="C26" s="18" t="s">
        <v>19</v>
      </c>
      <c r="D26" s="18" t="s">
        <v>46</v>
      </c>
      <c r="E26" s="18" t="s">
        <v>29</v>
      </c>
      <c r="F26" s="20" t="n">
        <v>67102</v>
      </c>
      <c r="G26" s="20" t="n">
        <v>7448.32</v>
      </c>
      <c r="H26" s="18" t="n">
        <v>7</v>
      </c>
      <c r="I26" s="20" t="n">
        <f aca="false">F26</f>
        <v>67102</v>
      </c>
      <c r="J26" s="22" t="n">
        <f aca="false">IFERROR(G26/F26,0)</f>
        <v>0.110999970194629</v>
      </c>
      <c r="K26" s="23" t="n">
        <f aca="false">MONTH(B26)</f>
        <v>12</v>
      </c>
    </row>
    <row r="27" customFormat="false" ht="15" hidden="false" customHeight="true" outlineLevel="0" collapsed="false">
      <c r="A27" s="18" t="s">
        <v>68</v>
      </c>
      <c r="B27" s="19" t="n">
        <v>45488</v>
      </c>
      <c r="C27" s="18" t="s">
        <v>23</v>
      </c>
      <c r="D27" s="18" t="s">
        <v>46</v>
      </c>
      <c r="E27" s="18" t="s">
        <v>29</v>
      </c>
      <c r="F27" s="20" t="n">
        <v>31180</v>
      </c>
      <c r="G27" s="20" t="n">
        <v>3336.26</v>
      </c>
      <c r="H27" s="18" t="n">
        <v>5</v>
      </c>
      <c r="I27" s="20" t="n">
        <f aca="false">F27</f>
        <v>31180</v>
      </c>
      <c r="J27" s="22" t="n">
        <f aca="false">IFERROR(G27/F27,0)</f>
        <v>0.107</v>
      </c>
      <c r="K27" s="23" t="n">
        <f aca="false">MONTH(B27)</f>
        <v>7</v>
      </c>
    </row>
    <row r="28" customFormat="false" ht="15" hidden="false" customHeight="true" outlineLevel="0" collapsed="false">
      <c r="A28" s="18" t="s">
        <v>69</v>
      </c>
      <c r="B28" s="19" t="n">
        <v>45462</v>
      </c>
      <c r="C28" s="18" t="s">
        <v>39</v>
      </c>
      <c r="D28" s="18" t="s">
        <v>70</v>
      </c>
      <c r="E28" s="18" t="s">
        <v>21</v>
      </c>
      <c r="F28" s="20" t="n">
        <v>10154</v>
      </c>
      <c r="G28" s="20" t="n">
        <v>1817.57</v>
      </c>
      <c r="H28" s="18" t="n">
        <v>1</v>
      </c>
      <c r="I28" s="20" t="n">
        <f aca="false">F28</f>
        <v>10154</v>
      </c>
      <c r="J28" s="22" t="n">
        <f aca="false">IFERROR(G28/F28,0)</f>
        <v>0.179000393933425</v>
      </c>
      <c r="K28" s="23" t="n">
        <f aca="false">MONTH(B28)</f>
        <v>6</v>
      </c>
    </row>
    <row r="29" customFormat="false" ht="15" hidden="false" customHeight="true" outlineLevel="0" collapsed="false">
      <c r="A29" s="18" t="s">
        <v>71</v>
      </c>
      <c r="B29" s="19" t="n">
        <v>45435</v>
      </c>
      <c r="C29" s="18" t="s">
        <v>23</v>
      </c>
      <c r="D29" s="18" t="s">
        <v>72</v>
      </c>
      <c r="E29" s="18" t="s">
        <v>29</v>
      </c>
      <c r="F29" s="20" t="n">
        <v>30906</v>
      </c>
      <c r="G29" s="20" t="n">
        <v>6119.39</v>
      </c>
      <c r="H29" s="18" t="n">
        <v>3</v>
      </c>
      <c r="I29" s="20" t="n">
        <f aca="false">F29</f>
        <v>30906</v>
      </c>
      <c r="J29" s="22" t="n">
        <f aca="false">IFERROR(G29/F29,0)</f>
        <v>0.198000064712354</v>
      </c>
      <c r="K29" s="23" t="n">
        <f aca="false">MONTH(B29)</f>
        <v>5</v>
      </c>
    </row>
    <row r="30" customFormat="false" ht="15" hidden="false" customHeight="true" outlineLevel="0" collapsed="false">
      <c r="A30" s="18" t="s">
        <v>73</v>
      </c>
      <c r="B30" s="19" t="n">
        <v>45424</v>
      </c>
      <c r="C30" s="18" t="s">
        <v>23</v>
      </c>
      <c r="D30" s="18" t="s">
        <v>36</v>
      </c>
      <c r="E30" s="18" t="s">
        <v>25</v>
      </c>
      <c r="F30" s="20" t="n">
        <v>12747</v>
      </c>
      <c r="G30" s="20" t="n">
        <v>3581.91</v>
      </c>
      <c r="H30" s="18" t="n">
        <v>3</v>
      </c>
      <c r="I30" s="20" t="n">
        <f aca="false">F30</f>
        <v>12747</v>
      </c>
      <c r="J30" s="22" t="n">
        <f aca="false">IFERROR(G30/F30,0)</f>
        <v>0.281000235349494</v>
      </c>
      <c r="K30" s="23" t="n">
        <f aca="false">MONTH(B30)</f>
        <v>5</v>
      </c>
    </row>
    <row r="31" customFormat="false" ht="15" hidden="false" customHeight="true" outlineLevel="0" collapsed="false">
      <c r="A31" s="18" t="s">
        <v>74</v>
      </c>
      <c r="B31" s="19" t="n">
        <v>45551</v>
      </c>
      <c r="C31" s="18" t="s">
        <v>41</v>
      </c>
      <c r="D31" s="18" t="s">
        <v>75</v>
      </c>
      <c r="E31" s="18" t="s">
        <v>29</v>
      </c>
      <c r="F31" s="20" t="n">
        <v>14395</v>
      </c>
      <c r="G31" s="20" t="n">
        <v>2317.6</v>
      </c>
      <c r="H31" s="18" t="n">
        <v>5</v>
      </c>
      <c r="I31" s="20" t="n">
        <f aca="false">F31</f>
        <v>14395</v>
      </c>
      <c r="J31" s="22" t="n">
        <f aca="false">IFERROR(G31/F31,0)</f>
        <v>0.161000347342827</v>
      </c>
      <c r="K31" s="23" t="n">
        <f aca="false">MONTH(B31)</f>
        <v>9</v>
      </c>
    </row>
    <row r="32" customFormat="false" ht="15" hidden="false" customHeight="true" outlineLevel="0" collapsed="false">
      <c r="A32" s="18" t="s">
        <v>76</v>
      </c>
      <c r="B32" s="19" t="n">
        <v>45447</v>
      </c>
      <c r="C32" s="18" t="s">
        <v>23</v>
      </c>
      <c r="D32" s="18" t="s">
        <v>72</v>
      </c>
      <c r="E32" s="18" t="s">
        <v>29</v>
      </c>
      <c r="F32" s="20" t="n">
        <v>26468</v>
      </c>
      <c r="G32" s="20" t="n">
        <v>4340.75</v>
      </c>
      <c r="H32" s="18" t="n">
        <v>2</v>
      </c>
      <c r="I32" s="20" t="n">
        <f aca="false">F32</f>
        <v>26468</v>
      </c>
      <c r="J32" s="22" t="n">
        <f aca="false">IFERROR(G32/F32,0)</f>
        <v>0.163999924437056</v>
      </c>
      <c r="K32" s="23" t="n">
        <f aca="false">MONTH(B32)</f>
        <v>6</v>
      </c>
    </row>
    <row r="33" customFormat="false" ht="15" hidden="false" customHeight="true" outlineLevel="0" collapsed="false">
      <c r="A33" s="18" t="s">
        <v>77</v>
      </c>
      <c r="B33" s="19" t="n">
        <v>45631</v>
      </c>
      <c r="C33" s="18" t="s">
        <v>23</v>
      </c>
      <c r="D33" s="18" t="s">
        <v>58</v>
      </c>
      <c r="E33" s="18" t="s">
        <v>50</v>
      </c>
      <c r="F33" s="20" t="n">
        <v>800</v>
      </c>
      <c r="G33" s="20" t="n">
        <v>244.8</v>
      </c>
      <c r="H33" s="18" t="n">
        <v>8</v>
      </c>
      <c r="I33" s="20" t="n">
        <f aca="false">F33</f>
        <v>800</v>
      </c>
      <c r="J33" s="22" t="n">
        <f aca="false">IFERROR(G33/F33,0)</f>
        <v>0.306</v>
      </c>
      <c r="K33" s="23" t="n">
        <f aca="false">MONTH(B33)</f>
        <v>12</v>
      </c>
    </row>
    <row r="34" customFormat="false" ht="15" hidden="false" customHeight="true" outlineLevel="0" collapsed="false">
      <c r="A34" s="18" t="s">
        <v>78</v>
      </c>
      <c r="B34" s="19" t="n">
        <v>45436</v>
      </c>
      <c r="C34" s="18" t="s">
        <v>19</v>
      </c>
      <c r="D34" s="18" t="s">
        <v>46</v>
      </c>
      <c r="E34" s="18" t="s">
        <v>29</v>
      </c>
      <c r="F34" s="20" t="n">
        <v>115220</v>
      </c>
      <c r="G34" s="20" t="n">
        <v>21546.14</v>
      </c>
      <c r="H34" s="18" t="n">
        <v>10</v>
      </c>
      <c r="I34" s="20" t="n">
        <f aca="false">F34</f>
        <v>115220</v>
      </c>
      <c r="J34" s="22" t="n">
        <f aca="false">IFERROR(G34/F34,0)</f>
        <v>0.187</v>
      </c>
      <c r="K34" s="23" t="n">
        <f aca="false">MONTH(B34)</f>
        <v>5</v>
      </c>
    </row>
    <row r="35" customFormat="false" ht="15" hidden="false" customHeight="true" outlineLevel="0" collapsed="false">
      <c r="A35" s="18" t="s">
        <v>79</v>
      </c>
      <c r="B35" s="19" t="n">
        <v>45363</v>
      </c>
      <c r="C35" s="18" t="s">
        <v>27</v>
      </c>
      <c r="D35" s="18" t="s">
        <v>44</v>
      </c>
      <c r="E35" s="18" t="s">
        <v>32</v>
      </c>
      <c r="F35" s="20" t="n">
        <v>23445</v>
      </c>
      <c r="G35" s="20" t="n">
        <v>2461.72</v>
      </c>
      <c r="H35" s="18" t="n">
        <v>5</v>
      </c>
      <c r="I35" s="20" t="n">
        <f aca="false">F35</f>
        <v>23445</v>
      </c>
      <c r="J35" s="22" t="n">
        <f aca="false">IFERROR(G35/F35,0)</f>
        <v>0.104999786734911</v>
      </c>
      <c r="K35" s="23" t="n">
        <f aca="false">MONTH(B35)</f>
        <v>3</v>
      </c>
    </row>
    <row r="36" customFormat="false" ht="15" hidden="false" customHeight="true" outlineLevel="0" collapsed="false">
      <c r="A36" s="18" t="s">
        <v>80</v>
      </c>
      <c r="B36" s="19" t="n">
        <v>45521</v>
      </c>
      <c r="C36" s="18" t="s">
        <v>39</v>
      </c>
      <c r="D36" s="18" t="s">
        <v>72</v>
      </c>
      <c r="E36" s="18" t="s">
        <v>29</v>
      </c>
      <c r="F36" s="20" t="n">
        <v>40280</v>
      </c>
      <c r="G36" s="20" t="n">
        <v>7935.16</v>
      </c>
      <c r="H36" s="18" t="n">
        <v>4</v>
      </c>
      <c r="I36" s="20" t="n">
        <f aca="false">F36</f>
        <v>40280</v>
      </c>
      <c r="J36" s="22" t="n">
        <f aca="false">IFERROR(G36/F36,0)</f>
        <v>0.197</v>
      </c>
      <c r="K36" s="23" t="n">
        <f aca="false">MONTH(B36)</f>
        <v>8</v>
      </c>
    </row>
    <row r="37" customFormat="false" ht="15" hidden="false" customHeight="true" outlineLevel="0" collapsed="false">
      <c r="A37" s="18" t="s">
        <v>81</v>
      </c>
      <c r="B37" s="19" t="n">
        <v>45408</v>
      </c>
      <c r="C37" s="18" t="s">
        <v>19</v>
      </c>
      <c r="D37" s="18" t="s">
        <v>49</v>
      </c>
      <c r="E37" s="18" t="s">
        <v>50</v>
      </c>
      <c r="F37" s="20" t="n">
        <v>539</v>
      </c>
      <c r="G37" s="20" t="n">
        <v>175.71</v>
      </c>
      <c r="H37" s="18" t="n">
        <v>7</v>
      </c>
      <c r="I37" s="20" t="n">
        <f aca="false">F37</f>
        <v>539</v>
      </c>
      <c r="J37" s="22" t="n">
        <f aca="false">IFERROR(G37/F37,0)</f>
        <v>0.325992578849722</v>
      </c>
      <c r="K37" s="23" t="n">
        <f aca="false">MONTH(B37)</f>
        <v>4</v>
      </c>
    </row>
    <row r="38" customFormat="false" ht="15" hidden="false" customHeight="true" outlineLevel="0" collapsed="false">
      <c r="A38" s="18" t="s">
        <v>82</v>
      </c>
      <c r="B38" s="19" t="n">
        <v>45453</v>
      </c>
      <c r="C38" s="18" t="s">
        <v>27</v>
      </c>
      <c r="D38" s="18" t="s">
        <v>83</v>
      </c>
      <c r="E38" s="18" t="s">
        <v>21</v>
      </c>
      <c r="F38" s="20" t="n">
        <v>11912</v>
      </c>
      <c r="G38" s="20" t="n">
        <v>2846.97</v>
      </c>
      <c r="H38" s="18" t="n">
        <v>2</v>
      </c>
      <c r="I38" s="20" t="n">
        <f aca="false">F38</f>
        <v>11912</v>
      </c>
      <c r="J38" s="22" t="n">
        <f aca="false">IFERROR(G38/F38,0)</f>
        <v>0.239000167897918</v>
      </c>
      <c r="K38" s="23" t="n">
        <f aca="false">MONTH(B38)</f>
        <v>6</v>
      </c>
    </row>
    <row r="39" customFormat="false" ht="15" hidden="false" customHeight="true" outlineLevel="0" collapsed="false">
      <c r="A39" s="18" t="s">
        <v>84</v>
      </c>
      <c r="B39" s="19" t="n">
        <v>45371</v>
      </c>
      <c r="C39" s="18" t="s">
        <v>27</v>
      </c>
      <c r="D39" s="18" t="s">
        <v>75</v>
      </c>
      <c r="E39" s="18" t="s">
        <v>29</v>
      </c>
      <c r="F39" s="20" t="n">
        <v>5608</v>
      </c>
      <c r="G39" s="20" t="n">
        <v>908.5</v>
      </c>
      <c r="H39" s="18" t="n">
        <v>2</v>
      </c>
      <c r="I39" s="20" t="n">
        <f aca="false">F39</f>
        <v>5608</v>
      </c>
      <c r="J39" s="22" t="n">
        <f aca="false">IFERROR(G39/F39,0)</f>
        <v>0.162000713266762</v>
      </c>
      <c r="K39" s="23" t="n">
        <f aca="false">MONTH(B39)</f>
        <v>3</v>
      </c>
    </row>
    <row r="40" customFormat="false" ht="15" hidden="false" customHeight="true" outlineLevel="0" collapsed="false">
      <c r="A40" s="18" t="s">
        <v>85</v>
      </c>
      <c r="B40" s="19" t="n">
        <v>45371</v>
      </c>
      <c r="C40" s="18" t="s">
        <v>19</v>
      </c>
      <c r="D40" s="18" t="s">
        <v>86</v>
      </c>
      <c r="E40" s="18" t="s">
        <v>21</v>
      </c>
      <c r="F40" s="20" t="n">
        <v>288030</v>
      </c>
      <c r="G40" s="20" t="n">
        <v>61350.39</v>
      </c>
      <c r="H40" s="18" t="n">
        <v>10</v>
      </c>
      <c r="I40" s="20" t="n">
        <f aca="false">F40</f>
        <v>288030</v>
      </c>
      <c r="J40" s="22" t="n">
        <f aca="false">IFERROR(G40/F40,0)</f>
        <v>0.213</v>
      </c>
      <c r="K40" s="23" t="n">
        <f aca="false">MONTH(B40)</f>
        <v>3</v>
      </c>
    </row>
    <row r="41" customFormat="false" ht="15" hidden="false" customHeight="true" outlineLevel="0" collapsed="false">
      <c r="A41" s="18" t="s">
        <v>87</v>
      </c>
      <c r="B41" s="19" t="n">
        <v>45387</v>
      </c>
      <c r="C41" s="18" t="s">
        <v>27</v>
      </c>
      <c r="D41" s="18" t="s">
        <v>88</v>
      </c>
      <c r="E41" s="18" t="s">
        <v>50</v>
      </c>
      <c r="F41" s="20" t="n">
        <v>364</v>
      </c>
      <c r="G41" s="20" t="n">
        <v>137.23</v>
      </c>
      <c r="H41" s="18" t="n">
        <v>1</v>
      </c>
      <c r="I41" s="20" t="n">
        <f aca="false">F41</f>
        <v>364</v>
      </c>
      <c r="J41" s="22" t="n">
        <f aca="false">IFERROR(G41/F41,0)</f>
        <v>0.377005494505495</v>
      </c>
      <c r="K41" s="23" t="n">
        <f aca="false">MONTH(B41)</f>
        <v>4</v>
      </c>
    </row>
    <row r="42" customFormat="false" ht="15" hidden="false" customHeight="true" outlineLevel="0" collapsed="false">
      <c r="A42" s="18" t="s">
        <v>89</v>
      </c>
      <c r="B42" s="19" t="n">
        <v>45522</v>
      </c>
      <c r="C42" s="18" t="s">
        <v>27</v>
      </c>
      <c r="D42" s="18" t="s">
        <v>42</v>
      </c>
      <c r="E42" s="18" t="s">
        <v>21</v>
      </c>
      <c r="F42" s="20" t="n">
        <v>78360</v>
      </c>
      <c r="G42" s="20" t="n">
        <v>18963.12</v>
      </c>
      <c r="H42" s="18" t="n">
        <v>6</v>
      </c>
      <c r="I42" s="20" t="n">
        <f aca="false">F42</f>
        <v>78360</v>
      </c>
      <c r="J42" s="22" t="n">
        <f aca="false">IFERROR(G42/F42,0)</f>
        <v>0.242</v>
      </c>
      <c r="K42" s="23" t="n">
        <f aca="false">MONTH(B42)</f>
        <v>8</v>
      </c>
    </row>
    <row r="43" customFormat="false" ht="15" hidden="false" customHeight="true" outlineLevel="0" collapsed="false">
      <c r="A43" s="18" t="s">
        <v>90</v>
      </c>
      <c r="B43" s="19" t="n">
        <v>45484</v>
      </c>
      <c r="C43" s="18" t="s">
        <v>39</v>
      </c>
      <c r="D43" s="18" t="s">
        <v>91</v>
      </c>
      <c r="E43" s="18" t="s">
        <v>25</v>
      </c>
      <c r="F43" s="20" t="n">
        <v>6880</v>
      </c>
      <c r="G43" s="20" t="n">
        <v>2325.44</v>
      </c>
      <c r="H43" s="18" t="n">
        <v>2</v>
      </c>
      <c r="I43" s="20" t="n">
        <f aca="false">F43</f>
        <v>6880</v>
      </c>
      <c r="J43" s="22" t="n">
        <f aca="false">IFERROR(G43/F43,0)</f>
        <v>0.338</v>
      </c>
      <c r="K43" s="23" t="n">
        <f aca="false">MONTH(B43)</f>
        <v>7</v>
      </c>
    </row>
    <row r="44" customFormat="false" ht="15" hidden="false" customHeight="true" outlineLevel="0" collapsed="false">
      <c r="A44" s="18" t="s">
        <v>92</v>
      </c>
      <c r="B44" s="19" t="n">
        <v>45452</v>
      </c>
      <c r="C44" s="18" t="s">
        <v>27</v>
      </c>
      <c r="D44" s="18" t="s">
        <v>93</v>
      </c>
      <c r="E44" s="18" t="s">
        <v>32</v>
      </c>
      <c r="F44" s="20" t="n">
        <v>89691</v>
      </c>
      <c r="G44" s="20" t="n">
        <v>8969.1</v>
      </c>
      <c r="H44" s="18" t="n">
        <v>7</v>
      </c>
      <c r="I44" s="20" t="n">
        <f aca="false">F44</f>
        <v>89691</v>
      </c>
      <c r="J44" s="22" t="n">
        <f aca="false">IFERROR(G44/F44,0)</f>
        <v>0.1</v>
      </c>
      <c r="K44" s="23" t="n">
        <f aca="false">MONTH(B44)</f>
        <v>6</v>
      </c>
    </row>
    <row r="45" customFormat="false" ht="15" hidden="false" customHeight="true" outlineLevel="0" collapsed="false">
      <c r="A45" s="18" t="s">
        <v>94</v>
      </c>
      <c r="B45" s="19" t="n">
        <v>45326</v>
      </c>
      <c r="C45" s="18" t="s">
        <v>19</v>
      </c>
      <c r="D45" s="18" t="s">
        <v>52</v>
      </c>
      <c r="E45" s="18" t="s">
        <v>32</v>
      </c>
      <c r="F45" s="20" t="n">
        <v>26976</v>
      </c>
      <c r="G45" s="20" t="n">
        <v>3722.69</v>
      </c>
      <c r="H45" s="18" t="n">
        <v>4</v>
      </c>
      <c r="I45" s="20" t="n">
        <f aca="false">F45</f>
        <v>26976</v>
      </c>
      <c r="J45" s="22" t="n">
        <f aca="false">IFERROR(G45/F45,0)</f>
        <v>0.138000074139976</v>
      </c>
      <c r="K45" s="23" t="n">
        <f aca="false">MONTH(B45)</f>
        <v>2</v>
      </c>
    </row>
    <row r="46" customFormat="false" ht="15" hidden="false" customHeight="true" outlineLevel="0" collapsed="false">
      <c r="A46" s="18" t="s">
        <v>95</v>
      </c>
      <c r="B46" s="19" t="n">
        <v>45550</v>
      </c>
      <c r="C46" s="18" t="s">
        <v>27</v>
      </c>
      <c r="D46" s="18" t="s">
        <v>96</v>
      </c>
      <c r="E46" s="18" t="s">
        <v>50</v>
      </c>
      <c r="F46" s="20" t="n">
        <v>102</v>
      </c>
      <c r="G46" s="20" t="n">
        <v>35.7</v>
      </c>
      <c r="H46" s="18" t="n">
        <v>3</v>
      </c>
      <c r="I46" s="20" t="n">
        <f aca="false">F46</f>
        <v>102</v>
      </c>
      <c r="J46" s="22" t="n">
        <f aca="false">IFERROR(G46/F46,0)</f>
        <v>0.35</v>
      </c>
      <c r="K46" s="23" t="n">
        <f aca="false">MONTH(B46)</f>
        <v>9</v>
      </c>
    </row>
    <row r="47" customFormat="false" ht="15" hidden="false" customHeight="true" outlineLevel="0" collapsed="false">
      <c r="A47" s="18" t="s">
        <v>97</v>
      </c>
      <c r="B47" s="19" t="n">
        <v>45636</v>
      </c>
      <c r="C47" s="18" t="s">
        <v>41</v>
      </c>
      <c r="D47" s="18" t="s">
        <v>44</v>
      </c>
      <c r="E47" s="18" t="s">
        <v>32</v>
      </c>
      <c r="F47" s="20" t="n">
        <v>20500</v>
      </c>
      <c r="G47" s="20" t="n">
        <v>3649</v>
      </c>
      <c r="H47" s="18" t="n">
        <v>4</v>
      </c>
      <c r="I47" s="20" t="n">
        <f aca="false">F47</f>
        <v>20500</v>
      </c>
      <c r="J47" s="22" t="n">
        <f aca="false">IFERROR(G47/F47,0)</f>
        <v>0.178</v>
      </c>
      <c r="K47" s="23" t="n">
        <f aca="false">MONTH(B47)</f>
        <v>12</v>
      </c>
    </row>
    <row r="48" customFormat="false" ht="15" hidden="false" customHeight="true" outlineLevel="0" collapsed="false">
      <c r="A48" s="18" t="s">
        <v>98</v>
      </c>
      <c r="B48" s="19" t="n">
        <v>45453</v>
      </c>
      <c r="C48" s="18" t="s">
        <v>41</v>
      </c>
      <c r="D48" s="18" t="s">
        <v>20</v>
      </c>
      <c r="E48" s="18" t="s">
        <v>21</v>
      </c>
      <c r="F48" s="20" t="n">
        <v>53620</v>
      </c>
      <c r="G48" s="20" t="n">
        <v>11689.16</v>
      </c>
      <c r="H48" s="18" t="n">
        <v>10</v>
      </c>
      <c r="I48" s="20" t="n">
        <f aca="false">F48</f>
        <v>53620</v>
      </c>
      <c r="J48" s="22" t="n">
        <f aca="false">IFERROR(G48/F48,0)</f>
        <v>0.218</v>
      </c>
      <c r="K48" s="23" t="n">
        <f aca="false">MONTH(B48)</f>
        <v>6</v>
      </c>
    </row>
    <row r="49" customFormat="false" ht="15" hidden="false" customHeight="true" outlineLevel="0" collapsed="false">
      <c r="A49" s="18" t="s">
        <v>99</v>
      </c>
      <c r="B49" s="19" t="n">
        <v>45534</v>
      </c>
      <c r="C49" s="18" t="s">
        <v>39</v>
      </c>
      <c r="D49" s="18" t="s">
        <v>20</v>
      </c>
      <c r="E49" s="18" t="s">
        <v>21</v>
      </c>
      <c r="F49" s="20" t="n">
        <v>7933</v>
      </c>
      <c r="G49" s="20" t="n">
        <v>1388.27</v>
      </c>
      <c r="H49" s="18" t="n">
        <v>1</v>
      </c>
      <c r="I49" s="20" t="n">
        <f aca="false">F49</f>
        <v>7933</v>
      </c>
      <c r="J49" s="22" t="n">
        <f aca="false">IFERROR(G49/F49,0)</f>
        <v>0.174999369721417</v>
      </c>
      <c r="K49" s="23" t="n">
        <f aca="false">MONTH(B49)</f>
        <v>8</v>
      </c>
    </row>
    <row r="50" customFormat="false" ht="15" hidden="false" customHeight="true" outlineLevel="0" collapsed="false">
      <c r="A50" s="18" t="s">
        <v>100</v>
      </c>
      <c r="B50" s="19" t="n">
        <v>45473</v>
      </c>
      <c r="C50" s="18" t="s">
        <v>39</v>
      </c>
      <c r="D50" s="18" t="s">
        <v>46</v>
      </c>
      <c r="E50" s="18" t="s">
        <v>29</v>
      </c>
      <c r="F50" s="20" t="n">
        <v>32470</v>
      </c>
      <c r="G50" s="20" t="n">
        <v>6331.65</v>
      </c>
      <c r="H50" s="18" t="n">
        <v>5</v>
      </c>
      <c r="I50" s="20" t="n">
        <f aca="false">F50</f>
        <v>32470</v>
      </c>
      <c r="J50" s="22" t="n">
        <f aca="false">IFERROR(G50/F50,0)</f>
        <v>0.195</v>
      </c>
      <c r="K50" s="23" t="n">
        <f aca="false">MONTH(B50)</f>
        <v>6</v>
      </c>
    </row>
    <row r="51" customFormat="false" ht="15" hidden="false" customHeight="true" outlineLevel="0" collapsed="false">
      <c r="A51" s="18" t="s">
        <v>101</v>
      </c>
      <c r="B51" s="19" t="n">
        <v>45529</v>
      </c>
      <c r="C51" s="18" t="s">
        <v>27</v>
      </c>
      <c r="D51" s="18" t="s">
        <v>75</v>
      </c>
      <c r="E51" s="18" t="s">
        <v>29</v>
      </c>
      <c r="F51" s="20" t="n">
        <v>4056</v>
      </c>
      <c r="G51" s="20" t="n">
        <v>429.94</v>
      </c>
      <c r="H51" s="18" t="n">
        <v>3</v>
      </c>
      <c r="I51" s="20" t="n">
        <f aca="false">F51</f>
        <v>4056</v>
      </c>
      <c r="J51" s="22" t="n">
        <f aca="false">IFERROR(G51/F51,0)</f>
        <v>0.106000986193294</v>
      </c>
      <c r="K51" s="23" t="n">
        <f aca="false">MONTH(B51)</f>
        <v>8</v>
      </c>
    </row>
    <row r="52" customFormat="false" ht="15" hidden="false" customHeight="true" outlineLevel="0" collapsed="false">
      <c r="A52" s="18" t="s">
        <v>102</v>
      </c>
      <c r="B52" s="19" t="n">
        <v>45461</v>
      </c>
      <c r="C52" s="18" t="s">
        <v>19</v>
      </c>
      <c r="D52" s="18" t="s">
        <v>83</v>
      </c>
      <c r="E52" s="18" t="s">
        <v>21</v>
      </c>
      <c r="F52" s="20" t="n">
        <v>73170</v>
      </c>
      <c r="G52" s="20" t="n">
        <v>13170.6</v>
      </c>
      <c r="H52" s="18" t="n">
        <v>10</v>
      </c>
      <c r="I52" s="20" t="n">
        <f aca="false">F52</f>
        <v>73170</v>
      </c>
      <c r="J52" s="22" t="n">
        <f aca="false">IFERROR(G52/F52,0)</f>
        <v>0.18</v>
      </c>
      <c r="K52" s="23" t="n">
        <f aca="false">MONTH(B52)</f>
        <v>6</v>
      </c>
    </row>
    <row r="53" customFormat="false" ht="15" hidden="false" customHeight="true" outlineLevel="0" collapsed="false">
      <c r="A53" s="18" t="s">
        <v>103</v>
      </c>
      <c r="B53" s="19" t="n">
        <v>45555</v>
      </c>
      <c r="C53" s="18" t="s">
        <v>39</v>
      </c>
      <c r="D53" s="18" t="s">
        <v>55</v>
      </c>
      <c r="E53" s="18" t="s">
        <v>32</v>
      </c>
      <c r="F53" s="20" t="n">
        <v>192180</v>
      </c>
      <c r="G53" s="20" t="n">
        <v>18064.92</v>
      </c>
      <c r="H53" s="18" t="n">
        <v>5</v>
      </c>
      <c r="I53" s="20" t="n">
        <f aca="false">F53</f>
        <v>192180</v>
      </c>
      <c r="J53" s="22" t="n">
        <f aca="false">IFERROR(G53/F53,0)</f>
        <v>0.094</v>
      </c>
      <c r="K53" s="23" t="n">
        <f aca="false">MONTH(B53)</f>
        <v>9</v>
      </c>
    </row>
    <row r="54" customFormat="false" ht="15" hidden="false" customHeight="true" outlineLevel="0" collapsed="false">
      <c r="A54" s="18" t="s">
        <v>104</v>
      </c>
      <c r="B54" s="19" t="n">
        <v>45458</v>
      </c>
      <c r="C54" s="18" t="s">
        <v>27</v>
      </c>
      <c r="D54" s="18" t="s">
        <v>83</v>
      </c>
      <c r="E54" s="18" t="s">
        <v>21</v>
      </c>
      <c r="F54" s="20" t="n">
        <v>59360</v>
      </c>
      <c r="G54" s="20" t="n">
        <v>8013.6</v>
      </c>
      <c r="H54" s="18" t="n">
        <v>7</v>
      </c>
      <c r="I54" s="20" t="n">
        <f aca="false">F54</f>
        <v>59360</v>
      </c>
      <c r="J54" s="22" t="n">
        <f aca="false">IFERROR(G54/F54,0)</f>
        <v>0.135</v>
      </c>
      <c r="K54" s="23" t="n">
        <f aca="false">MONTH(B54)</f>
        <v>6</v>
      </c>
    </row>
    <row r="55" customFormat="false" ht="15" hidden="false" customHeight="true" outlineLevel="0" collapsed="false">
      <c r="A55" s="18" t="s">
        <v>105</v>
      </c>
      <c r="B55" s="19" t="n">
        <v>45647</v>
      </c>
      <c r="C55" s="18" t="s">
        <v>19</v>
      </c>
      <c r="D55" s="18" t="s">
        <v>106</v>
      </c>
      <c r="E55" s="18" t="s">
        <v>25</v>
      </c>
      <c r="F55" s="20" t="n">
        <v>4484</v>
      </c>
      <c r="G55" s="20" t="n">
        <v>1174.81</v>
      </c>
      <c r="H55" s="18" t="n">
        <v>2</v>
      </c>
      <c r="I55" s="20" t="n">
        <f aca="false">F55</f>
        <v>4484</v>
      </c>
      <c r="J55" s="22" t="n">
        <f aca="false">IFERROR(G55/F55,0)</f>
        <v>0.26200044603033</v>
      </c>
      <c r="K55" s="23" t="n">
        <f aca="false">MONTH(B55)</f>
        <v>12</v>
      </c>
    </row>
    <row r="56" customFormat="false" ht="15" hidden="false" customHeight="true" outlineLevel="0" collapsed="false">
      <c r="A56" s="18" t="s">
        <v>107</v>
      </c>
      <c r="B56" s="19" t="n">
        <v>45313</v>
      </c>
      <c r="C56" s="18" t="s">
        <v>27</v>
      </c>
      <c r="D56" s="18" t="s">
        <v>72</v>
      </c>
      <c r="E56" s="18" t="s">
        <v>29</v>
      </c>
      <c r="F56" s="20" t="n">
        <v>47860</v>
      </c>
      <c r="G56" s="20" t="n">
        <v>5264.6</v>
      </c>
      <c r="H56" s="18" t="n">
        <v>4</v>
      </c>
      <c r="I56" s="20" t="n">
        <f aca="false">F56</f>
        <v>47860</v>
      </c>
      <c r="J56" s="22" t="n">
        <f aca="false">IFERROR(G56/F56,0)</f>
        <v>0.11</v>
      </c>
      <c r="K56" s="23" t="n">
        <f aca="false">MONTH(B56)</f>
        <v>1</v>
      </c>
    </row>
    <row r="57" customFormat="false" ht="15" hidden="false" customHeight="true" outlineLevel="0" collapsed="false">
      <c r="A57" s="18" t="s">
        <v>108</v>
      </c>
      <c r="B57" s="19" t="n">
        <v>45548</v>
      </c>
      <c r="C57" s="18" t="s">
        <v>23</v>
      </c>
      <c r="D57" s="18" t="s">
        <v>96</v>
      </c>
      <c r="E57" s="18" t="s">
        <v>50</v>
      </c>
      <c r="F57" s="20" t="n">
        <v>115</v>
      </c>
      <c r="G57" s="20" t="n">
        <v>26.22</v>
      </c>
      <c r="H57" s="18" t="n">
        <v>1</v>
      </c>
      <c r="I57" s="20" t="n">
        <f aca="false">F57</f>
        <v>115</v>
      </c>
      <c r="J57" s="22" t="n">
        <f aca="false">IFERROR(G57/F57,0)</f>
        <v>0.228</v>
      </c>
      <c r="K57" s="23" t="n">
        <f aca="false">MONTH(B57)</f>
        <v>9</v>
      </c>
    </row>
    <row r="58" customFormat="false" ht="15" hidden="false" customHeight="true" outlineLevel="0" collapsed="false">
      <c r="A58" s="18" t="s">
        <v>110</v>
      </c>
      <c r="B58" s="19" t="n">
        <v>45344</v>
      </c>
      <c r="C58" s="18" t="s">
        <v>23</v>
      </c>
      <c r="D58" s="18" t="s">
        <v>55</v>
      </c>
      <c r="E58" s="18" t="s">
        <v>32</v>
      </c>
      <c r="F58" s="20" t="n">
        <v>396510</v>
      </c>
      <c r="G58" s="20" t="n">
        <v>32910.33</v>
      </c>
      <c r="H58" s="18" t="n">
        <v>10</v>
      </c>
      <c r="I58" s="20" t="n">
        <f aca="false">F58</f>
        <v>396510</v>
      </c>
      <c r="J58" s="22" t="n">
        <f aca="false">IFERROR(G58/F58,0)</f>
        <v>0.083</v>
      </c>
      <c r="K58" s="23" t="n">
        <f aca="false">MONTH(B58)</f>
        <v>2</v>
      </c>
    </row>
    <row r="59" customFormat="false" ht="15" hidden="false" customHeight="true" outlineLevel="0" collapsed="false">
      <c r="A59" s="18" t="s">
        <v>111</v>
      </c>
      <c r="B59" s="19" t="n">
        <v>45619</v>
      </c>
      <c r="C59" s="18" t="s">
        <v>41</v>
      </c>
      <c r="D59" s="18" t="s">
        <v>96</v>
      </c>
      <c r="E59" s="18" t="s">
        <v>50</v>
      </c>
      <c r="F59" s="20" t="n">
        <v>558</v>
      </c>
      <c r="G59" s="20" t="n">
        <v>183.02</v>
      </c>
      <c r="H59" s="18" t="n">
        <v>9</v>
      </c>
      <c r="I59" s="20" t="n">
        <f aca="false">F59</f>
        <v>558</v>
      </c>
      <c r="J59" s="22" t="n">
        <f aca="false">IFERROR(G59/F59,0)</f>
        <v>0.327992831541219</v>
      </c>
      <c r="K59" s="23" t="n">
        <f aca="false">MONTH(B59)</f>
        <v>11</v>
      </c>
    </row>
    <row r="60" customFormat="false" ht="15" hidden="false" customHeight="true" outlineLevel="0" collapsed="false">
      <c r="A60" s="18" t="s">
        <v>112</v>
      </c>
      <c r="B60" s="19" t="n">
        <v>45414</v>
      </c>
      <c r="C60" s="18" t="s">
        <v>27</v>
      </c>
      <c r="D60" s="18" t="s">
        <v>88</v>
      </c>
      <c r="E60" s="18" t="s">
        <v>50</v>
      </c>
      <c r="F60" s="20" t="n">
        <v>346</v>
      </c>
      <c r="G60" s="20" t="n">
        <v>103.8</v>
      </c>
      <c r="H60" s="18" t="n">
        <v>2</v>
      </c>
      <c r="I60" s="20" t="n">
        <f aca="false">F60</f>
        <v>346</v>
      </c>
      <c r="J60" s="22" t="n">
        <f aca="false">IFERROR(G60/F60,0)</f>
        <v>0.3</v>
      </c>
      <c r="K60" s="23" t="n">
        <f aca="false">MONTH(B60)</f>
        <v>5</v>
      </c>
    </row>
    <row r="61" customFormat="false" ht="15" hidden="false" customHeight="true" outlineLevel="0" collapsed="false">
      <c r="A61" s="18" t="s">
        <v>113</v>
      </c>
      <c r="B61" s="19" t="n">
        <v>45624</v>
      </c>
      <c r="C61" s="18" t="s">
        <v>41</v>
      </c>
      <c r="D61" s="18" t="s">
        <v>55</v>
      </c>
      <c r="E61" s="18" t="s">
        <v>32</v>
      </c>
      <c r="F61" s="20" t="n">
        <v>257985</v>
      </c>
      <c r="G61" s="20" t="n">
        <v>30442.23</v>
      </c>
      <c r="H61" s="18" t="n">
        <v>7</v>
      </c>
      <c r="I61" s="20" t="n">
        <f aca="false">F61</f>
        <v>257985</v>
      </c>
      <c r="J61" s="22" t="n">
        <f aca="false">IFERROR(G61/F61,0)</f>
        <v>0.118</v>
      </c>
      <c r="K61" s="23" t="n">
        <f aca="false">MONTH(B61)</f>
        <v>11</v>
      </c>
    </row>
    <row r="62" customFormat="false" ht="15" hidden="false" customHeight="true" outlineLevel="0" collapsed="false">
      <c r="A62" s="18" t="s">
        <v>115</v>
      </c>
      <c r="B62" s="19" t="n">
        <v>45317</v>
      </c>
      <c r="C62" s="18" t="s">
        <v>19</v>
      </c>
      <c r="D62" s="18" t="s">
        <v>83</v>
      </c>
      <c r="E62" s="18" t="s">
        <v>21</v>
      </c>
      <c r="F62" s="20" t="n">
        <v>9027</v>
      </c>
      <c r="G62" s="20" t="n">
        <v>2202.59</v>
      </c>
      <c r="H62" s="18" t="n">
        <v>3</v>
      </c>
      <c r="I62" s="20" t="n">
        <f aca="false">F62</f>
        <v>9027</v>
      </c>
      <c r="J62" s="22" t="n">
        <f aca="false">IFERROR(G62/F62,0)</f>
        <v>0.24400022155755</v>
      </c>
      <c r="K62" s="23" t="n">
        <f aca="false">MONTH(B62)</f>
        <v>1</v>
      </c>
    </row>
    <row r="63" customFormat="false" ht="15" hidden="false" customHeight="true" outlineLevel="0" collapsed="false">
      <c r="A63" s="18" t="s">
        <v>116</v>
      </c>
      <c r="B63" s="19" t="n">
        <v>45546</v>
      </c>
      <c r="C63" s="18" t="s">
        <v>41</v>
      </c>
      <c r="D63" s="18" t="s">
        <v>52</v>
      </c>
      <c r="E63" s="18" t="s">
        <v>32</v>
      </c>
      <c r="F63" s="20" t="n">
        <v>29239</v>
      </c>
      <c r="G63" s="20" t="n">
        <v>2456.08</v>
      </c>
      <c r="H63" s="18" t="n">
        <v>7</v>
      </c>
      <c r="I63" s="20" t="n">
        <f aca="false">F63</f>
        <v>29239</v>
      </c>
      <c r="J63" s="22" t="n">
        <f aca="false">IFERROR(G63/F63,0)</f>
        <v>0.0840001368035843</v>
      </c>
      <c r="K63" s="23" t="n">
        <f aca="false">MONTH(B63)</f>
        <v>9</v>
      </c>
    </row>
    <row r="64" customFormat="false" ht="15" hidden="false" customHeight="true" outlineLevel="0" collapsed="false">
      <c r="A64" s="18" t="s">
        <v>117</v>
      </c>
      <c r="B64" s="19" t="n">
        <v>45439</v>
      </c>
      <c r="C64" s="18" t="s">
        <v>27</v>
      </c>
      <c r="D64" s="18" t="s">
        <v>106</v>
      </c>
      <c r="E64" s="18" t="s">
        <v>25</v>
      </c>
      <c r="F64" s="20" t="n">
        <v>10376</v>
      </c>
      <c r="G64" s="20" t="n">
        <v>1618.66</v>
      </c>
      <c r="H64" s="18" t="n">
        <v>8</v>
      </c>
      <c r="I64" s="20" t="n">
        <f aca="false">F64</f>
        <v>10376</v>
      </c>
      <c r="J64" s="22" t="n">
        <f aca="false">IFERROR(G64/F64,0)</f>
        <v>0.156000385505012</v>
      </c>
      <c r="K64" s="23" t="n">
        <f aca="false">MONTH(B64)</f>
        <v>5</v>
      </c>
    </row>
    <row r="65" customFormat="false" ht="15" hidden="false" customHeight="true" outlineLevel="0" collapsed="false">
      <c r="A65" s="18" t="s">
        <v>118</v>
      </c>
      <c r="B65" s="19" t="n">
        <v>45441</v>
      </c>
      <c r="C65" s="18" t="s">
        <v>23</v>
      </c>
      <c r="D65" s="18" t="s">
        <v>28</v>
      </c>
      <c r="E65" s="18" t="s">
        <v>29</v>
      </c>
      <c r="F65" s="20" t="n">
        <v>17220</v>
      </c>
      <c r="G65" s="20" t="n">
        <v>1808.1</v>
      </c>
      <c r="H65" s="18" t="n">
        <v>6</v>
      </c>
      <c r="I65" s="20" t="n">
        <f aca="false">F65</f>
        <v>17220</v>
      </c>
      <c r="J65" s="22" t="n">
        <f aca="false">IFERROR(G65/F65,0)</f>
        <v>0.105</v>
      </c>
      <c r="K65" s="23" t="n">
        <f aca="false">MONTH(B65)</f>
        <v>5</v>
      </c>
    </row>
    <row r="66" customFormat="false" ht="15" hidden="false" customHeight="true" outlineLevel="0" collapsed="false">
      <c r="A66" s="18" t="s">
        <v>119</v>
      </c>
      <c r="B66" s="19" t="n">
        <v>45540</v>
      </c>
      <c r="C66" s="18" t="s">
        <v>23</v>
      </c>
      <c r="D66" s="18" t="s">
        <v>120</v>
      </c>
      <c r="E66" s="18" t="s">
        <v>29</v>
      </c>
      <c r="F66" s="20" t="n">
        <v>52904</v>
      </c>
      <c r="G66" s="20" t="n">
        <v>6189.77</v>
      </c>
      <c r="H66" s="18" t="n">
        <v>8</v>
      </c>
      <c r="I66" s="20" t="n">
        <f aca="false">F66</f>
        <v>52904</v>
      </c>
      <c r="J66" s="22" t="n">
        <f aca="false">IFERROR(G66/F66,0)</f>
        <v>0.117000037804325</v>
      </c>
      <c r="K66" s="23" t="n">
        <f aca="false">MONTH(B66)</f>
        <v>9</v>
      </c>
    </row>
    <row r="67" customFormat="false" ht="15" hidden="false" customHeight="true" outlineLevel="0" collapsed="false">
      <c r="A67" s="18" t="s">
        <v>121</v>
      </c>
      <c r="B67" s="19" t="n">
        <v>45533</v>
      </c>
      <c r="C67" s="18" t="s">
        <v>39</v>
      </c>
      <c r="D67" s="18" t="s">
        <v>62</v>
      </c>
      <c r="E67" s="18" t="s">
        <v>50</v>
      </c>
      <c r="F67" s="20" t="n">
        <v>693</v>
      </c>
      <c r="G67" s="20" t="n">
        <v>191.96</v>
      </c>
      <c r="H67" s="18" t="n">
        <v>9</v>
      </c>
      <c r="I67" s="20" t="n">
        <f aca="false">F67</f>
        <v>693</v>
      </c>
      <c r="J67" s="22" t="n">
        <f aca="false">IFERROR(G67/F67,0)</f>
        <v>0.276998556998557</v>
      </c>
      <c r="K67" s="23" t="n">
        <f aca="false">MONTH(B67)</f>
        <v>8</v>
      </c>
    </row>
    <row r="68" customFormat="false" ht="15" hidden="false" customHeight="true" outlineLevel="0" collapsed="false">
      <c r="A68" s="18" t="s">
        <v>122</v>
      </c>
      <c r="B68" s="19" t="n">
        <v>45426</v>
      </c>
      <c r="C68" s="18" t="s">
        <v>27</v>
      </c>
      <c r="D68" s="18" t="s">
        <v>28</v>
      </c>
      <c r="E68" s="18" t="s">
        <v>29</v>
      </c>
      <c r="F68" s="20" t="n">
        <v>41340</v>
      </c>
      <c r="G68" s="20" t="n">
        <v>5746.26</v>
      </c>
      <c r="H68" s="18" t="n">
        <v>6</v>
      </c>
      <c r="I68" s="20" t="n">
        <f aca="false">F68</f>
        <v>41340</v>
      </c>
      <c r="J68" s="22" t="n">
        <f aca="false">IFERROR(G68/F68,0)</f>
        <v>0.139</v>
      </c>
      <c r="K68" s="23" t="n">
        <f aca="false">MONTH(B68)</f>
        <v>5</v>
      </c>
    </row>
    <row r="69" customFormat="false" ht="15" hidden="false" customHeight="true" outlineLevel="0" collapsed="false">
      <c r="A69" s="18" t="s">
        <v>123</v>
      </c>
      <c r="B69" s="19" t="n">
        <v>45610</v>
      </c>
      <c r="C69" s="18" t="s">
        <v>19</v>
      </c>
      <c r="D69" s="18" t="s">
        <v>91</v>
      </c>
      <c r="E69" s="18" t="s">
        <v>25</v>
      </c>
      <c r="F69" s="20" t="n">
        <v>5452</v>
      </c>
      <c r="G69" s="20" t="n">
        <v>1706.48</v>
      </c>
      <c r="H69" s="18" t="n">
        <v>2</v>
      </c>
      <c r="I69" s="20" t="n">
        <f aca="false">F69</f>
        <v>5452</v>
      </c>
      <c r="J69" s="22" t="n">
        <f aca="false">IFERROR(G69/F69,0)</f>
        <v>0.313000733675715</v>
      </c>
      <c r="K69" s="23" t="n">
        <f aca="false">MONTH(B69)</f>
        <v>11</v>
      </c>
    </row>
    <row r="70" customFormat="false" ht="15" hidden="false" customHeight="true" outlineLevel="0" collapsed="false">
      <c r="A70" s="18" t="s">
        <v>124</v>
      </c>
      <c r="B70" s="19" t="n">
        <v>45513</v>
      </c>
      <c r="C70" s="18" t="s">
        <v>19</v>
      </c>
      <c r="D70" s="18" t="s">
        <v>31</v>
      </c>
      <c r="E70" s="18" t="s">
        <v>32</v>
      </c>
      <c r="F70" s="20" t="n">
        <v>553875</v>
      </c>
      <c r="G70" s="20" t="n">
        <v>50956.5</v>
      </c>
      <c r="H70" s="18" t="n">
        <v>7</v>
      </c>
      <c r="I70" s="20" t="n">
        <f aca="false">F70</f>
        <v>553875</v>
      </c>
      <c r="J70" s="22" t="n">
        <f aca="false">IFERROR(G70/F70,0)</f>
        <v>0.092</v>
      </c>
      <c r="K70" s="23" t="n">
        <f aca="false">MONTH(B70)</f>
        <v>8</v>
      </c>
    </row>
    <row r="71" customFormat="false" ht="15" hidden="false" customHeight="true" outlineLevel="0" collapsed="false">
      <c r="A71" s="18" t="s">
        <v>125</v>
      </c>
      <c r="B71" s="19" t="n">
        <v>45497</v>
      </c>
      <c r="C71" s="18" t="s">
        <v>23</v>
      </c>
      <c r="D71" s="18" t="s">
        <v>55</v>
      </c>
      <c r="E71" s="18" t="s">
        <v>32</v>
      </c>
      <c r="F71" s="20" t="n">
        <v>226338</v>
      </c>
      <c r="G71" s="20" t="n">
        <v>35082.39</v>
      </c>
      <c r="H71" s="18" t="n">
        <v>7</v>
      </c>
      <c r="I71" s="20" t="n">
        <f aca="false">F71</f>
        <v>226338</v>
      </c>
      <c r="J71" s="22" t="n">
        <f aca="false">IFERROR(G71/F71,0)</f>
        <v>0.155</v>
      </c>
      <c r="K71" s="23" t="n">
        <f aca="false">MONTH(B71)</f>
        <v>7</v>
      </c>
    </row>
    <row r="72" customFormat="false" ht="15" hidden="false" customHeight="true" outlineLevel="0" collapsed="false">
      <c r="A72" s="18" t="s">
        <v>126</v>
      </c>
      <c r="B72" s="19" t="n">
        <v>45370</v>
      </c>
      <c r="C72" s="18" t="s">
        <v>39</v>
      </c>
      <c r="D72" s="18" t="s">
        <v>55</v>
      </c>
      <c r="E72" s="18" t="s">
        <v>32</v>
      </c>
      <c r="F72" s="20" t="n">
        <v>270984</v>
      </c>
      <c r="G72" s="20" t="n">
        <v>30621.19</v>
      </c>
      <c r="H72" s="18" t="n">
        <v>7</v>
      </c>
      <c r="I72" s="20" t="n">
        <f aca="false">F72</f>
        <v>270984</v>
      </c>
      <c r="J72" s="22" t="n">
        <f aca="false">IFERROR(G72/F72,0)</f>
        <v>0.11299999261949</v>
      </c>
      <c r="K72" s="23" t="n">
        <f aca="false">MONTH(B72)</f>
        <v>3</v>
      </c>
    </row>
    <row r="73" customFormat="false" ht="15" hidden="false" customHeight="true" outlineLevel="0" collapsed="false">
      <c r="A73" s="18" t="s">
        <v>127</v>
      </c>
      <c r="B73" s="19" t="n">
        <v>45486</v>
      </c>
      <c r="C73" s="18" t="s">
        <v>39</v>
      </c>
      <c r="D73" s="18" t="s">
        <v>120</v>
      </c>
      <c r="E73" s="18" t="s">
        <v>29</v>
      </c>
      <c r="F73" s="20" t="n">
        <v>109300</v>
      </c>
      <c r="G73" s="20" t="n">
        <v>15411.3</v>
      </c>
      <c r="H73" s="18" t="n">
        <v>10</v>
      </c>
      <c r="I73" s="20" t="n">
        <f aca="false">F73</f>
        <v>109300</v>
      </c>
      <c r="J73" s="22" t="n">
        <f aca="false">IFERROR(G73/F73,0)</f>
        <v>0.141</v>
      </c>
      <c r="K73" s="23" t="n">
        <f aca="false">MONTH(B73)</f>
        <v>7</v>
      </c>
    </row>
    <row r="74" customFormat="false" ht="15" hidden="false" customHeight="true" outlineLevel="0" collapsed="false">
      <c r="A74" s="18" t="s">
        <v>128</v>
      </c>
      <c r="B74" s="19" t="n">
        <v>45614</v>
      </c>
      <c r="C74" s="18" t="s">
        <v>39</v>
      </c>
      <c r="D74" s="18" t="s">
        <v>55</v>
      </c>
      <c r="E74" s="18" t="s">
        <v>32</v>
      </c>
      <c r="F74" s="20" t="n">
        <v>37797</v>
      </c>
      <c r="G74" s="20" t="n">
        <v>3855.29</v>
      </c>
      <c r="H74" s="18" t="n">
        <v>3</v>
      </c>
      <c r="I74" s="20" t="n">
        <f aca="false">F74</f>
        <v>37797</v>
      </c>
      <c r="J74" s="22" t="n">
        <f aca="false">IFERROR(G74/F74,0)</f>
        <v>0.101999894171495</v>
      </c>
      <c r="K74" s="23" t="n">
        <f aca="false">MONTH(B74)</f>
        <v>11</v>
      </c>
    </row>
    <row r="75" customFormat="false" ht="15" hidden="false" customHeight="true" outlineLevel="0" collapsed="false">
      <c r="A75" s="18" t="s">
        <v>129</v>
      </c>
      <c r="B75" s="19" t="n">
        <v>45457</v>
      </c>
      <c r="C75" s="18" t="s">
        <v>41</v>
      </c>
      <c r="D75" s="18" t="s">
        <v>31</v>
      </c>
      <c r="E75" s="18" t="s">
        <v>32</v>
      </c>
      <c r="F75" s="20" t="n">
        <v>220332</v>
      </c>
      <c r="G75" s="20" t="n">
        <v>33049.8</v>
      </c>
      <c r="H75" s="18" t="n">
        <v>3</v>
      </c>
      <c r="I75" s="20" t="n">
        <f aca="false">F75</f>
        <v>220332</v>
      </c>
      <c r="J75" s="22" t="n">
        <f aca="false">IFERROR(G75/F75,0)</f>
        <v>0.15</v>
      </c>
      <c r="K75" s="23" t="n">
        <f aca="false">MONTH(B75)</f>
        <v>6</v>
      </c>
    </row>
    <row r="76" customFormat="false" ht="15" hidden="false" customHeight="true" outlineLevel="0" collapsed="false">
      <c r="A76" s="18" t="s">
        <v>130</v>
      </c>
      <c r="B76" s="19" t="n">
        <v>45631</v>
      </c>
      <c r="C76" s="18" t="s">
        <v>19</v>
      </c>
      <c r="D76" s="18" t="s">
        <v>70</v>
      </c>
      <c r="E76" s="18" t="s">
        <v>21</v>
      </c>
      <c r="F76" s="20" t="n">
        <v>117714</v>
      </c>
      <c r="G76" s="20" t="n">
        <v>17421.67</v>
      </c>
      <c r="H76" s="18" t="n">
        <v>6</v>
      </c>
      <c r="I76" s="20" t="n">
        <f aca="false">F76</f>
        <v>117714</v>
      </c>
      <c r="J76" s="22" t="n">
        <f aca="false">IFERROR(G76/F76,0)</f>
        <v>0.147999983009668</v>
      </c>
      <c r="K76" s="23" t="n">
        <f aca="false">MONTH(B76)</f>
        <v>12</v>
      </c>
    </row>
    <row r="77" customFormat="false" ht="15" hidden="false" customHeight="true" outlineLevel="0" collapsed="false">
      <c r="A77" s="18" t="s">
        <v>131</v>
      </c>
      <c r="B77" s="19" t="n">
        <v>45639</v>
      </c>
      <c r="C77" s="18" t="s">
        <v>23</v>
      </c>
      <c r="D77" s="18" t="s">
        <v>106</v>
      </c>
      <c r="E77" s="18" t="s">
        <v>25</v>
      </c>
      <c r="F77" s="20" t="n">
        <v>12753</v>
      </c>
      <c r="G77" s="20" t="n">
        <v>2792.91</v>
      </c>
      <c r="H77" s="18" t="n">
        <v>9</v>
      </c>
      <c r="I77" s="20" t="n">
        <f aca="false">F77</f>
        <v>12753</v>
      </c>
      <c r="J77" s="22" t="n">
        <f aca="false">IFERROR(G77/F77,0)</f>
        <v>0.219000235238767</v>
      </c>
      <c r="K77" s="23" t="n">
        <f aca="false">MONTH(B77)</f>
        <v>12</v>
      </c>
    </row>
    <row r="78" customFormat="false" ht="15" hidden="false" customHeight="true" outlineLevel="0" collapsed="false">
      <c r="A78" s="18" t="s">
        <v>132</v>
      </c>
      <c r="B78" s="19" t="n">
        <v>45631</v>
      </c>
      <c r="C78" s="18" t="s">
        <v>39</v>
      </c>
      <c r="D78" s="18" t="s">
        <v>70</v>
      </c>
      <c r="E78" s="18" t="s">
        <v>21</v>
      </c>
      <c r="F78" s="20" t="n">
        <v>235866</v>
      </c>
      <c r="G78" s="20" t="n">
        <v>41748.28</v>
      </c>
      <c r="H78" s="18" t="n">
        <v>6</v>
      </c>
      <c r="I78" s="20" t="n">
        <f aca="false">F78</f>
        <v>235866</v>
      </c>
      <c r="J78" s="22" t="n">
        <f aca="false">IFERROR(G78/F78,0)</f>
        <v>0.176999991520609</v>
      </c>
      <c r="K78" s="23" t="n">
        <f aca="false">MONTH(B78)</f>
        <v>12</v>
      </c>
    </row>
    <row r="79" customFormat="false" ht="15" hidden="false" customHeight="true" outlineLevel="0" collapsed="false">
      <c r="A79" s="18" t="s">
        <v>133</v>
      </c>
      <c r="B79" s="19" t="n">
        <v>45636</v>
      </c>
      <c r="C79" s="18" t="s">
        <v>19</v>
      </c>
      <c r="D79" s="18" t="s">
        <v>46</v>
      </c>
      <c r="E79" s="18" t="s">
        <v>29</v>
      </c>
      <c r="F79" s="20" t="n">
        <v>6370</v>
      </c>
      <c r="G79" s="20" t="n">
        <v>936.39</v>
      </c>
      <c r="H79" s="18" t="n">
        <v>1</v>
      </c>
      <c r="I79" s="20" t="n">
        <f aca="false">F79</f>
        <v>6370</v>
      </c>
      <c r="J79" s="22" t="n">
        <f aca="false">IFERROR(G79/F79,0)</f>
        <v>0.147</v>
      </c>
      <c r="K79" s="23" t="n">
        <f aca="false">MONTH(B79)</f>
        <v>12</v>
      </c>
    </row>
    <row r="80" customFormat="false" ht="15" hidden="false" customHeight="true" outlineLevel="0" collapsed="false">
      <c r="A80" s="18" t="s">
        <v>134</v>
      </c>
      <c r="B80" s="19" t="n">
        <v>45501</v>
      </c>
      <c r="C80" s="18" t="s">
        <v>27</v>
      </c>
      <c r="D80" s="18" t="s">
        <v>106</v>
      </c>
      <c r="E80" s="18" t="s">
        <v>25</v>
      </c>
      <c r="F80" s="20" t="n">
        <v>27240</v>
      </c>
      <c r="G80" s="20" t="n">
        <v>5665.92</v>
      </c>
      <c r="H80" s="18" t="n">
        <v>10</v>
      </c>
      <c r="I80" s="20" t="n">
        <f aca="false">F80</f>
        <v>27240</v>
      </c>
      <c r="J80" s="22" t="n">
        <f aca="false">IFERROR(G80/F80,0)</f>
        <v>0.208</v>
      </c>
      <c r="K80" s="23" t="n">
        <f aca="false">MONTH(B80)</f>
        <v>7</v>
      </c>
    </row>
    <row r="81" customFormat="false" ht="15" hidden="false" customHeight="true" outlineLevel="0" collapsed="false">
      <c r="A81" s="18" t="s">
        <v>135</v>
      </c>
      <c r="B81" s="19" t="n">
        <v>45335</v>
      </c>
      <c r="C81" s="18" t="s">
        <v>23</v>
      </c>
      <c r="D81" s="18" t="s">
        <v>52</v>
      </c>
      <c r="E81" s="18" t="s">
        <v>32</v>
      </c>
      <c r="F81" s="20" t="n">
        <v>17037</v>
      </c>
      <c r="G81" s="20" t="n">
        <v>2453.33</v>
      </c>
      <c r="H81" s="18" t="n">
        <v>9</v>
      </c>
      <c r="I81" s="20" t="n">
        <f aca="false">F81</f>
        <v>17037</v>
      </c>
      <c r="J81" s="22" t="n">
        <f aca="false">IFERROR(G81/F81,0)</f>
        <v>0.14400011739156</v>
      </c>
      <c r="K81" s="23" t="n">
        <f aca="false">MONTH(B81)</f>
        <v>2</v>
      </c>
    </row>
    <row r="82" customFormat="false" ht="15" hidden="false" customHeight="true" outlineLevel="0" collapsed="false">
      <c r="A82" s="18" t="s">
        <v>136</v>
      </c>
      <c r="B82" s="19" t="n">
        <v>45551</v>
      </c>
      <c r="C82" s="18" t="s">
        <v>41</v>
      </c>
      <c r="D82" s="18" t="s">
        <v>46</v>
      </c>
      <c r="E82" s="18" t="s">
        <v>29</v>
      </c>
      <c r="F82" s="20" t="n">
        <v>101370</v>
      </c>
      <c r="G82" s="20" t="n">
        <v>17942.49</v>
      </c>
      <c r="H82" s="18" t="n">
        <v>10</v>
      </c>
      <c r="I82" s="20" t="n">
        <f aca="false">F82</f>
        <v>101370</v>
      </c>
      <c r="J82" s="22" t="n">
        <f aca="false">IFERROR(G82/F82,0)</f>
        <v>0.177</v>
      </c>
      <c r="K82" s="23" t="n">
        <f aca="false">MONTH(B82)</f>
        <v>9</v>
      </c>
    </row>
    <row r="83" customFormat="false" ht="15" hidden="false" customHeight="true" outlineLevel="0" collapsed="false">
      <c r="A83" s="18" t="s">
        <v>137</v>
      </c>
      <c r="B83" s="19" t="n">
        <v>45452</v>
      </c>
      <c r="C83" s="18" t="s">
        <v>27</v>
      </c>
      <c r="D83" s="18" t="s">
        <v>120</v>
      </c>
      <c r="E83" s="18" t="s">
        <v>29</v>
      </c>
      <c r="F83" s="20" t="n">
        <v>71046</v>
      </c>
      <c r="G83" s="20" t="n">
        <v>9875.39</v>
      </c>
      <c r="H83" s="18" t="n">
        <v>9</v>
      </c>
      <c r="I83" s="20" t="n">
        <f aca="false">F83</f>
        <v>71046</v>
      </c>
      <c r="J83" s="22" t="n">
        <f aca="false">IFERROR(G83/F83,0)</f>
        <v>0.138999943698449</v>
      </c>
      <c r="K83" s="23" t="n">
        <f aca="false">MONTH(B83)</f>
        <v>6</v>
      </c>
    </row>
    <row r="84" customFormat="false" ht="15" hidden="false" customHeight="true" outlineLevel="0" collapsed="false">
      <c r="A84" s="18" t="s">
        <v>138</v>
      </c>
      <c r="B84" s="19" t="n">
        <v>45296</v>
      </c>
      <c r="C84" s="18" t="s">
        <v>27</v>
      </c>
      <c r="D84" s="18" t="s">
        <v>93</v>
      </c>
      <c r="E84" s="18" t="s">
        <v>32</v>
      </c>
      <c r="F84" s="20" t="n">
        <v>59424</v>
      </c>
      <c r="G84" s="20" t="n">
        <v>7012.03</v>
      </c>
      <c r="H84" s="18" t="n">
        <v>4</v>
      </c>
      <c r="I84" s="20" t="n">
        <f aca="false">F84</f>
        <v>59424</v>
      </c>
      <c r="J84" s="22" t="n">
        <f aca="false">IFERROR(G84/F84,0)</f>
        <v>0.117999966343565</v>
      </c>
      <c r="K84" s="23" t="n">
        <f aca="false">MONTH(B84)</f>
        <v>1</v>
      </c>
    </row>
    <row r="85" customFormat="false" ht="15" hidden="false" customHeight="true" outlineLevel="0" collapsed="false">
      <c r="A85" s="18" t="s">
        <v>139</v>
      </c>
      <c r="B85" s="19" t="n">
        <v>45438</v>
      </c>
      <c r="C85" s="18" t="s">
        <v>39</v>
      </c>
      <c r="D85" s="18" t="s">
        <v>120</v>
      </c>
      <c r="E85" s="18" t="s">
        <v>29</v>
      </c>
      <c r="F85" s="20" t="n">
        <v>57528</v>
      </c>
      <c r="G85" s="20" t="n">
        <v>9434.59</v>
      </c>
      <c r="H85" s="18" t="n">
        <v>6</v>
      </c>
      <c r="I85" s="20" t="n">
        <f aca="false">F85</f>
        <v>57528</v>
      </c>
      <c r="J85" s="22" t="n">
        <f aca="false">IFERROR(G85/F85,0)</f>
        <v>0.163999965234321</v>
      </c>
      <c r="K85" s="23" t="n">
        <f aca="false">MONTH(B85)</f>
        <v>5</v>
      </c>
    </row>
    <row r="86" customFormat="false" ht="15" hidden="false" customHeight="true" outlineLevel="0" collapsed="false">
      <c r="A86" s="18" t="s">
        <v>140</v>
      </c>
      <c r="B86" s="19" t="n">
        <v>45637</v>
      </c>
      <c r="C86" s="18" t="s">
        <v>27</v>
      </c>
      <c r="D86" s="18" t="s">
        <v>24</v>
      </c>
      <c r="E86" s="18" t="s">
        <v>25</v>
      </c>
      <c r="F86" s="20" t="n">
        <v>12141</v>
      </c>
      <c r="G86" s="20" t="n">
        <v>2039.69</v>
      </c>
      <c r="H86" s="18" t="n">
        <v>9</v>
      </c>
      <c r="I86" s="20" t="n">
        <f aca="false">F86</f>
        <v>12141</v>
      </c>
      <c r="J86" s="22" t="n">
        <f aca="false">IFERROR(G86/F86,0)</f>
        <v>0.168000164731077</v>
      </c>
      <c r="K86" s="23" t="n">
        <f aca="false">MONTH(B86)</f>
        <v>12</v>
      </c>
    </row>
    <row r="87" customFormat="false" ht="15" hidden="false" customHeight="true" outlineLevel="0" collapsed="false">
      <c r="A87" s="18" t="s">
        <v>141</v>
      </c>
      <c r="B87" s="19" t="n">
        <v>45313</v>
      </c>
      <c r="C87" s="18" t="s">
        <v>19</v>
      </c>
      <c r="D87" s="18" t="s">
        <v>86</v>
      </c>
      <c r="E87" s="18" t="s">
        <v>21</v>
      </c>
      <c r="F87" s="20" t="n">
        <v>369882</v>
      </c>
      <c r="G87" s="20" t="n">
        <v>92100.62</v>
      </c>
      <c r="H87" s="18" t="n">
        <v>9</v>
      </c>
      <c r="I87" s="20" t="n">
        <f aca="false">F87</f>
        <v>369882</v>
      </c>
      <c r="J87" s="22" t="n">
        <f aca="false">IFERROR(G87/F87,0)</f>
        <v>0.24900000540713</v>
      </c>
      <c r="K87" s="23" t="n">
        <f aca="false">MONTH(B87)</f>
        <v>1</v>
      </c>
    </row>
    <row r="88" customFormat="false" ht="15" hidden="false" customHeight="true" outlineLevel="0" collapsed="false">
      <c r="A88" s="18" t="s">
        <v>142</v>
      </c>
      <c r="B88" s="19" t="n">
        <v>45558</v>
      </c>
      <c r="C88" s="18" t="s">
        <v>19</v>
      </c>
      <c r="D88" s="18" t="s">
        <v>106</v>
      </c>
      <c r="E88" s="18" t="s">
        <v>25</v>
      </c>
      <c r="F88" s="20" t="n">
        <v>10350</v>
      </c>
      <c r="G88" s="20" t="n">
        <v>3508.65</v>
      </c>
      <c r="H88" s="18" t="n">
        <v>10</v>
      </c>
      <c r="I88" s="20" t="n">
        <f aca="false">F88</f>
        <v>10350</v>
      </c>
      <c r="J88" s="22" t="n">
        <f aca="false">IFERROR(G88/F88,0)</f>
        <v>0.339</v>
      </c>
      <c r="K88" s="23" t="n">
        <f aca="false">MONTH(B88)</f>
        <v>9</v>
      </c>
    </row>
    <row r="89" customFormat="false" ht="15" hidden="false" customHeight="true" outlineLevel="0" collapsed="false">
      <c r="A89" s="18" t="s">
        <v>143</v>
      </c>
      <c r="B89" s="19" t="n">
        <v>45627</v>
      </c>
      <c r="C89" s="18" t="s">
        <v>39</v>
      </c>
      <c r="D89" s="18" t="s">
        <v>106</v>
      </c>
      <c r="E89" s="18" t="s">
        <v>25</v>
      </c>
      <c r="F89" s="20" t="n">
        <v>5466</v>
      </c>
      <c r="G89" s="20" t="n">
        <v>978.41</v>
      </c>
      <c r="H89" s="18" t="n">
        <v>3</v>
      </c>
      <c r="I89" s="20" t="n">
        <f aca="false">F89</f>
        <v>5466</v>
      </c>
      <c r="J89" s="22" t="n">
        <f aca="false">IFERROR(G89/F89,0)</f>
        <v>0.178999268203439</v>
      </c>
      <c r="K89" s="23" t="n">
        <f aca="false">MONTH(B89)</f>
        <v>12</v>
      </c>
    </row>
    <row r="90" customFormat="false" ht="15" hidden="false" customHeight="true" outlineLevel="0" collapsed="false">
      <c r="A90" s="18" t="s">
        <v>144</v>
      </c>
      <c r="B90" s="19" t="n">
        <v>45438</v>
      </c>
      <c r="C90" s="18" t="s">
        <v>19</v>
      </c>
      <c r="D90" s="18" t="s">
        <v>93</v>
      </c>
      <c r="E90" s="18" t="s">
        <v>32</v>
      </c>
      <c r="F90" s="20" t="n">
        <v>12814</v>
      </c>
      <c r="G90" s="20" t="n">
        <v>2024.61</v>
      </c>
      <c r="H90" s="18" t="n">
        <v>1</v>
      </c>
      <c r="I90" s="20" t="n">
        <f aca="false">F90</f>
        <v>12814</v>
      </c>
      <c r="J90" s="22" t="n">
        <f aca="false">IFERROR(G90/F90,0)</f>
        <v>0.157999843920712</v>
      </c>
      <c r="K90" s="23" t="n">
        <f aca="false">MONTH(B90)</f>
        <v>5</v>
      </c>
    </row>
    <row r="91" customFormat="false" ht="15" hidden="false" customHeight="true" outlineLevel="0" collapsed="false">
      <c r="A91" s="18" t="s">
        <v>145</v>
      </c>
      <c r="B91" s="19" t="n">
        <v>45507</v>
      </c>
      <c r="C91" s="18" t="s">
        <v>27</v>
      </c>
      <c r="D91" s="18" t="s">
        <v>52</v>
      </c>
      <c r="E91" s="18" t="s">
        <v>32</v>
      </c>
      <c r="F91" s="20" t="n">
        <v>26369</v>
      </c>
      <c r="G91" s="20" t="n">
        <v>3797.14</v>
      </c>
      <c r="H91" s="18" t="n">
        <v>7</v>
      </c>
      <c r="I91" s="20" t="n">
        <f aca="false">F91</f>
        <v>26369</v>
      </c>
      <c r="J91" s="22" t="n">
        <f aca="false">IFERROR(G91/F91,0)</f>
        <v>0.144000151693276</v>
      </c>
      <c r="K91" s="23" t="n">
        <f aca="false">MONTH(B91)</f>
        <v>8</v>
      </c>
    </row>
    <row r="92" customFormat="false" ht="15" hidden="false" customHeight="true" outlineLevel="0" collapsed="false">
      <c r="A92" s="18" t="s">
        <v>146</v>
      </c>
      <c r="B92" s="19" t="n">
        <v>45512</v>
      </c>
      <c r="C92" s="18" t="s">
        <v>41</v>
      </c>
      <c r="D92" s="18" t="s">
        <v>86</v>
      </c>
      <c r="E92" s="18" t="s">
        <v>21</v>
      </c>
      <c r="F92" s="20" t="n">
        <v>468910</v>
      </c>
      <c r="G92" s="20" t="n">
        <v>88623.99</v>
      </c>
      <c r="H92" s="18" t="n">
        <v>10</v>
      </c>
      <c r="I92" s="20" t="n">
        <f aca="false">F92</f>
        <v>468910</v>
      </c>
      <c r="J92" s="22" t="n">
        <f aca="false">IFERROR(G92/F92,0)</f>
        <v>0.189</v>
      </c>
      <c r="K92" s="23" t="n">
        <f aca="false">MONTH(B92)</f>
        <v>8</v>
      </c>
    </row>
    <row r="93" customFormat="false" ht="15" hidden="false" customHeight="true" outlineLevel="0" collapsed="false">
      <c r="A93" s="18" t="s">
        <v>147</v>
      </c>
      <c r="B93" s="19" t="n">
        <v>45542</v>
      </c>
      <c r="C93" s="18" t="s">
        <v>19</v>
      </c>
      <c r="D93" s="18" t="s">
        <v>36</v>
      </c>
      <c r="E93" s="18" t="s">
        <v>25</v>
      </c>
      <c r="F93" s="20" t="n">
        <v>11400</v>
      </c>
      <c r="G93" s="20" t="n">
        <v>3876</v>
      </c>
      <c r="H93" s="18" t="n">
        <v>4</v>
      </c>
      <c r="I93" s="20" t="n">
        <f aca="false">F93</f>
        <v>11400</v>
      </c>
      <c r="J93" s="22" t="n">
        <f aca="false">IFERROR(G93/F93,0)</f>
        <v>0.34</v>
      </c>
      <c r="K93" s="23" t="n">
        <f aca="false">MONTH(B93)</f>
        <v>9</v>
      </c>
    </row>
    <row r="94" customFormat="false" ht="15" hidden="false" customHeight="true" outlineLevel="0" collapsed="false">
      <c r="A94" s="18" t="s">
        <v>148</v>
      </c>
      <c r="B94" s="19" t="n">
        <v>45346</v>
      </c>
      <c r="C94" s="18" t="s">
        <v>27</v>
      </c>
      <c r="D94" s="18" t="s">
        <v>20</v>
      </c>
      <c r="E94" s="18" t="s">
        <v>21</v>
      </c>
      <c r="F94" s="20" t="n">
        <v>62720</v>
      </c>
      <c r="G94" s="20" t="n">
        <v>13861.12</v>
      </c>
      <c r="H94" s="18" t="n">
        <v>10</v>
      </c>
      <c r="I94" s="20" t="n">
        <f aca="false">F94</f>
        <v>62720</v>
      </c>
      <c r="J94" s="22" t="n">
        <f aca="false">IFERROR(G94/F94,0)</f>
        <v>0.221</v>
      </c>
      <c r="K94" s="23" t="n">
        <f aca="false">MONTH(B94)</f>
        <v>2</v>
      </c>
    </row>
    <row r="95" customFormat="false" ht="15" hidden="false" customHeight="true" outlineLevel="0" collapsed="false">
      <c r="A95" s="18" t="s">
        <v>149</v>
      </c>
      <c r="B95" s="19" t="n">
        <v>45341</v>
      </c>
      <c r="C95" s="18" t="s">
        <v>41</v>
      </c>
      <c r="D95" s="18" t="s">
        <v>34</v>
      </c>
      <c r="E95" s="18" t="s">
        <v>25</v>
      </c>
      <c r="F95" s="20" t="n">
        <v>8448</v>
      </c>
      <c r="G95" s="20" t="n">
        <v>1968.38</v>
      </c>
      <c r="H95" s="18" t="n">
        <v>6</v>
      </c>
      <c r="I95" s="20" t="n">
        <f aca="false">F95</f>
        <v>8448</v>
      </c>
      <c r="J95" s="22" t="n">
        <f aca="false">IFERROR(G95/F95,0)</f>
        <v>0.232999526515152</v>
      </c>
      <c r="K95" s="23" t="n">
        <f aca="false">MONTH(B95)</f>
        <v>2</v>
      </c>
    </row>
    <row r="96" customFormat="false" ht="15" hidden="false" customHeight="true" outlineLevel="0" collapsed="false">
      <c r="A96" s="18" t="s">
        <v>150</v>
      </c>
      <c r="B96" s="19" t="n">
        <v>45416</v>
      </c>
      <c r="C96" s="18" t="s">
        <v>41</v>
      </c>
      <c r="D96" s="18" t="s">
        <v>46</v>
      </c>
      <c r="E96" s="18" t="s">
        <v>29</v>
      </c>
      <c r="F96" s="20" t="n">
        <v>13250</v>
      </c>
      <c r="G96" s="20" t="n">
        <v>1351.5</v>
      </c>
      <c r="H96" s="18" t="n">
        <v>2</v>
      </c>
      <c r="I96" s="20" t="n">
        <f aca="false">F96</f>
        <v>13250</v>
      </c>
      <c r="J96" s="22" t="n">
        <f aca="false">IFERROR(G96/F96,0)</f>
        <v>0.102</v>
      </c>
      <c r="K96" s="23" t="n">
        <f aca="false">MONTH(B96)</f>
        <v>5</v>
      </c>
    </row>
    <row r="97" customFormat="false" ht="15" hidden="false" customHeight="true" outlineLevel="0" collapsed="false">
      <c r="A97" s="18" t="s">
        <v>151</v>
      </c>
      <c r="B97" s="19" t="n">
        <v>45522</v>
      </c>
      <c r="C97" s="18" t="s">
        <v>23</v>
      </c>
      <c r="D97" s="18" t="s">
        <v>49</v>
      </c>
      <c r="E97" s="18" t="s">
        <v>50</v>
      </c>
      <c r="F97" s="20" t="n">
        <v>140</v>
      </c>
      <c r="G97" s="20" t="n">
        <v>47.74</v>
      </c>
      <c r="H97" s="18" t="n">
        <v>7</v>
      </c>
      <c r="I97" s="20" t="n">
        <f aca="false">F97</f>
        <v>140</v>
      </c>
      <c r="J97" s="22" t="n">
        <f aca="false">IFERROR(G97/F97,0)</f>
        <v>0.341</v>
      </c>
      <c r="K97" s="23" t="n">
        <f aca="false">MONTH(B97)</f>
        <v>8</v>
      </c>
    </row>
    <row r="98" customFormat="false" ht="15" hidden="false" customHeight="true" outlineLevel="0" collapsed="false">
      <c r="A98" s="18" t="s">
        <v>152</v>
      </c>
      <c r="B98" s="19" t="n">
        <v>45497</v>
      </c>
      <c r="C98" s="18" t="s">
        <v>41</v>
      </c>
      <c r="D98" s="18" t="s">
        <v>75</v>
      </c>
      <c r="E98" s="18" t="s">
        <v>29</v>
      </c>
      <c r="F98" s="20" t="n">
        <v>12825</v>
      </c>
      <c r="G98" s="20" t="n">
        <v>1641.6</v>
      </c>
      <c r="H98" s="18" t="n">
        <v>9</v>
      </c>
      <c r="I98" s="20" t="n">
        <f aca="false">F98</f>
        <v>12825</v>
      </c>
      <c r="J98" s="22" t="n">
        <f aca="false">IFERROR(G98/F98,0)</f>
        <v>0.128</v>
      </c>
      <c r="K98" s="23" t="n">
        <f aca="false">MONTH(B98)</f>
        <v>7</v>
      </c>
    </row>
    <row r="99" customFormat="false" ht="15" hidden="false" customHeight="true" outlineLevel="0" collapsed="false">
      <c r="A99" s="18" t="s">
        <v>153</v>
      </c>
      <c r="B99" s="19" t="n">
        <v>45639</v>
      </c>
      <c r="C99" s="18" t="s">
        <v>23</v>
      </c>
      <c r="D99" s="18" t="s">
        <v>36</v>
      </c>
      <c r="E99" s="18" t="s">
        <v>25</v>
      </c>
      <c r="F99" s="20" t="n">
        <v>33340</v>
      </c>
      <c r="G99" s="20" t="n">
        <v>11535.64</v>
      </c>
      <c r="H99" s="18" t="n">
        <v>10</v>
      </c>
      <c r="I99" s="20" t="n">
        <f aca="false">F99</f>
        <v>33340</v>
      </c>
      <c r="J99" s="22" t="n">
        <f aca="false">IFERROR(G99/F99,0)</f>
        <v>0.346</v>
      </c>
      <c r="K99" s="23" t="n">
        <f aca="false">MONTH(B99)</f>
        <v>12</v>
      </c>
    </row>
    <row r="100" customFormat="false" ht="15" hidden="false" customHeight="true" outlineLevel="0" collapsed="false">
      <c r="A100" s="18" t="s">
        <v>154</v>
      </c>
      <c r="B100" s="19" t="n">
        <v>45462</v>
      </c>
      <c r="C100" s="18" t="s">
        <v>19</v>
      </c>
      <c r="D100" s="18" t="s">
        <v>31</v>
      </c>
      <c r="E100" s="18" t="s">
        <v>32</v>
      </c>
      <c r="F100" s="20" t="n">
        <v>189812</v>
      </c>
      <c r="G100" s="20" t="n">
        <v>33406.91</v>
      </c>
      <c r="H100" s="18" t="n">
        <v>4</v>
      </c>
      <c r="I100" s="20" t="n">
        <f aca="false">F100</f>
        <v>189812</v>
      </c>
      <c r="J100" s="22" t="n">
        <f aca="false">IFERROR(G100/F100,0)</f>
        <v>0.175999989463258</v>
      </c>
      <c r="K100" s="23" t="n">
        <f aca="false">MONTH(B100)</f>
        <v>6</v>
      </c>
    </row>
    <row r="101" customFormat="false" ht="15" hidden="false" customHeight="true" outlineLevel="0" collapsed="false">
      <c r="A101" s="18" t="s">
        <v>155</v>
      </c>
      <c r="B101" s="19" t="n">
        <v>45634</v>
      </c>
      <c r="C101" s="18" t="s">
        <v>27</v>
      </c>
      <c r="D101" s="18" t="s">
        <v>70</v>
      </c>
      <c r="E101" s="18" t="s">
        <v>21</v>
      </c>
      <c r="F101" s="20" t="n">
        <v>26197</v>
      </c>
      <c r="G101" s="20" t="n">
        <v>6051.51</v>
      </c>
      <c r="H101" s="18" t="n">
        <v>1</v>
      </c>
      <c r="I101" s="20" t="n">
        <f aca="false">F101</f>
        <v>26197</v>
      </c>
      <c r="J101" s="22" t="n">
        <f aca="false">IFERROR(G101/F101,0)</f>
        <v>0.231000114516929</v>
      </c>
      <c r="K101" s="23" t="n">
        <f aca="false">MONTH(B101)</f>
        <v>12</v>
      </c>
    </row>
    <row r="102" customFormat="false" ht="15" hidden="false" customHeight="true" outlineLevel="0" collapsed="false">
      <c r="A102" s="18" t="s">
        <v>156</v>
      </c>
      <c r="B102" s="19" t="n">
        <v>45625</v>
      </c>
      <c r="C102" s="18" t="s">
        <v>27</v>
      </c>
      <c r="D102" s="18" t="s">
        <v>83</v>
      </c>
      <c r="E102" s="18" t="s">
        <v>21</v>
      </c>
      <c r="F102" s="20" t="n">
        <v>28923</v>
      </c>
      <c r="G102" s="20" t="n">
        <v>5871.37</v>
      </c>
      <c r="H102" s="18" t="n">
        <v>3</v>
      </c>
      <c r="I102" s="20" t="n">
        <f aca="false">F102</f>
        <v>28923</v>
      </c>
      <c r="J102" s="22" t="n">
        <f aca="false">IFERROR(G102/F102,0)</f>
        <v>0.20300003457456</v>
      </c>
      <c r="K102" s="23" t="n">
        <f aca="false">MONTH(B102)</f>
        <v>11</v>
      </c>
    </row>
    <row r="103" customFormat="false" ht="15" hidden="false" customHeight="true" outlineLevel="0" collapsed="false">
      <c r="A103" s="18" t="s">
        <v>157</v>
      </c>
      <c r="B103" s="19" t="n">
        <v>45429</v>
      </c>
      <c r="C103" s="18" t="s">
        <v>41</v>
      </c>
      <c r="D103" s="18" t="s">
        <v>36</v>
      </c>
      <c r="E103" s="18" t="s">
        <v>25</v>
      </c>
      <c r="F103" s="20" t="n">
        <v>4244</v>
      </c>
      <c r="G103" s="20" t="n">
        <v>1319.88</v>
      </c>
      <c r="H103" s="18" t="n">
        <v>1</v>
      </c>
      <c r="I103" s="20" t="n">
        <f aca="false">F103</f>
        <v>4244</v>
      </c>
      <c r="J103" s="22" t="n">
        <f aca="false">IFERROR(G103/F103,0)</f>
        <v>0.310999057492931</v>
      </c>
      <c r="K103" s="23" t="n">
        <f aca="false">MONTH(B103)</f>
        <v>5</v>
      </c>
    </row>
    <row r="104" customFormat="false" ht="15" hidden="false" customHeight="true" outlineLevel="0" collapsed="false">
      <c r="A104" s="18" t="s">
        <v>158</v>
      </c>
      <c r="B104" s="19" t="n">
        <v>45414</v>
      </c>
      <c r="C104" s="18" t="s">
        <v>41</v>
      </c>
      <c r="D104" s="18" t="s">
        <v>44</v>
      </c>
      <c r="E104" s="18" t="s">
        <v>32</v>
      </c>
      <c r="F104" s="20" t="n">
        <v>6320</v>
      </c>
      <c r="G104" s="20" t="n">
        <v>998.56</v>
      </c>
      <c r="H104" s="18" t="n">
        <v>2</v>
      </c>
      <c r="I104" s="20" t="n">
        <f aca="false">F104</f>
        <v>6320</v>
      </c>
      <c r="J104" s="22" t="n">
        <f aca="false">IFERROR(G104/F104,0)</f>
        <v>0.158</v>
      </c>
      <c r="K104" s="23" t="n">
        <f aca="false">MONTH(B104)</f>
        <v>5</v>
      </c>
    </row>
    <row r="105" customFormat="false" ht="15" hidden="false" customHeight="true" outlineLevel="0" collapsed="false">
      <c r="A105" s="18" t="s">
        <v>159</v>
      </c>
      <c r="B105" s="19" t="n">
        <v>45350</v>
      </c>
      <c r="C105" s="18" t="s">
        <v>23</v>
      </c>
      <c r="D105" s="18" t="s">
        <v>20</v>
      </c>
      <c r="E105" s="18" t="s">
        <v>21</v>
      </c>
      <c r="F105" s="20" t="n">
        <v>115680</v>
      </c>
      <c r="G105" s="20" t="n">
        <v>17699.04</v>
      </c>
      <c r="H105" s="18" t="n">
        <v>8</v>
      </c>
      <c r="I105" s="20" t="n">
        <f aca="false">F105</f>
        <v>115680</v>
      </c>
      <c r="J105" s="22" t="n">
        <f aca="false">IFERROR(G105/F105,0)</f>
        <v>0.153</v>
      </c>
      <c r="K105" s="23" t="n">
        <f aca="false">MONTH(B105)</f>
        <v>2</v>
      </c>
    </row>
    <row r="106" customFormat="false" ht="15" hidden="false" customHeight="true" outlineLevel="0" collapsed="false">
      <c r="A106" s="18" t="s">
        <v>160</v>
      </c>
      <c r="B106" s="19" t="n">
        <v>45311</v>
      </c>
      <c r="C106" s="18" t="s">
        <v>27</v>
      </c>
      <c r="D106" s="18" t="s">
        <v>42</v>
      </c>
      <c r="E106" s="18" t="s">
        <v>21</v>
      </c>
      <c r="F106" s="20" t="n">
        <v>69512</v>
      </c>
      <c r="G106" s="20" t="n">
        <v>16613.37</v>
      </c>
      <c r="H106" s="18" t="n">
        <v>4</v>
      </c>
      <c r="I106" s="20" t="n">
        <f aca="false">F106</f>
        <v>69512</v>
      </c>
      <c r="J106" s="22" t="n">
        <f aca="false">IFERROR(G106/F106,0)</f>
        <v>0.239000028772011</v>
      </c>
      <c r="K106" s="23" t="n">
        <f aca="false">MONTH(B106)</f>
        <v>1</v>
      </c>
    </row>
    <row r="107" customFormat="false" ht="15" hidden="false" customHeight="true" outlineLevel="0" collapsed="false">
      <c r="A107" s="18" t="s">
        <v>161</v>
      </c>
      <c r="B107" s="19" t="n">
        <v>45638</v>
      </c>
      <c r="C107" s="18" t="s">
        <v>39</v>
      </c>
      <c r="D107" s="18" t="s">
        <v>83</v>
      </c>
      <c r="E107" s="18" t="s">
        <v>21</v>
      </c>
      <c r="F107" s="20" t="n">
        <v>76363</v>
      </c>
      <c r="G107" s="20" t="n">
        <v>9392.65</v>
      </c>
      <c r="H107" s="18" t="n">
        <v>7</v>
      </c>
      <c r="I107" s="20" t="n">
        <f aca="false">F107</f>
        <v>76363</v>
      </c>
      <c r="J107" s="22" t="n">
        <f aca="false">IFERROR(G107/F107,0)</f>
        <v>0.123000013095347</v>
      </c>
      <c r="K107" s="23" t="n">
        <f aca="false">MONTH(B107)</f>
        <v>12</v>
      </c>
    </row>
    <row r="108" customFormat="false" ht="15" hidden="false" customHeight="true" outlineLevel="0" collapsed="false">
      <c r="A108" s="18" t="s">
        <v>162</v>
      </c>
      <c r="B108" s="19" t="n">
        <v>45446</v>
      </c>
      <c r="C108" s="18" t="s">
        <v>23</v>
      </c>
      <c r="D108" s="18" t="s">
        <v>55</v>
      </c>
      <c r="E108" s="18" t="s">
        <v>32</v>
      </c>
      <c r="F108" s="20" t="n">
        <v>203415</v>
      </c>
      <c r="G108" s="20" t="n">
        <v>24002.97</v>
      </c>
      <c r="H108" s="18" t="n">
        <v>5</v>
      </c>
      <c r="I108" s="20" t="n">
        <f aca="false">F108</f>
        <v>203415</v>
      </c>
      <c r="J108" s="22" t="n">
        <f aca="false">IFERROR(G108/F108,0)</f>
        <v>0.118</v>
      </c>
      <c r="K108" s="23" t="n">
        <f aca="false">MONTH(B108)</f>
        <v>6</v>
      </c>
    </row>
    <row r="109" customFormat="false" ht="15" hidden="false" customHeight="true" outlineLevel="0" collapsed="false">
      <c r="A109" s="18" t="s">
        <v>163</v>
      </c>
      <c r="B109" s="19" t="n">
        <v>45473</v>
      </c>
      <c r="C109" s="18" t="s">
        <v>23</v>
      </c>
      <c r="D109" s="18" t="s">
        <v>55</v>
      </c>
      <c r="E109" s="18" t="s">
        <v>32</v>
      </c>
      <c r="F109" s="20" t="n">
        <v>332610</v>
      </c>
      <c r="G109" s="20" t="n">
        <v>55213.26</v>
      </c>
      <c r="H109" s="18" t="n">
        <v>10</v>
      </c>
      <c r="I109" s="20" t="n">
        <f aca="false">F109</f>
        <v>332610</v>
      </c>
      <c r="J109" s="22" t="n">
        <f aca="false">IFERROR(G109/F109,0)</f>
        <v>0.166</v>
      </c>
      <c r="K109" s="23" t="n">
        <f aca="false">MONTH(B109)</f>
        <v>6</v>
      </c>
    </row>
    <row r="110" customFormat="false" ht="15" hidden="false" customHeight="true" outlineLevel="0" collapsed="false">
      <c r="A110" s="18" t="s">
        <v>164</v>
      </c>
      <c r="B110" s="19" t="n">
        <v>45443</v>
      </c>
      <c r="C110" s="18" t="s">
        <v>23</v>
      </c>
      <c r="D110" s="18" t="s">
        <v>34</v>
      </c>
      <c r="E110" s="18" t="s">
        <v>25</v>
      </c>
      <c r="F110" s="20" t="n">
        <v>2636</v>
      </c>
      <c r="G110" s="20" t="n">
        <v>716.99</v>
      </c>
      <c r="H110" s="18" t="n">
        <v>4</v>
      </c>
      <c r="I110" s="20" t="n">
        <f aca="false">F110</f>
        <v>2636</v>
      </c>
      <c r="J110" s="22" t="n">
        <f aca="false">IFERROR(G110/F110,0)</f>
        <v>0.271999241274659</v>
      </c>
      <c r="K110" s="23" t="n">
        <f aca="false">MONTH(B110)</f>
        <v>5</v>
      </c>
    </row>
    <row r="111" customFormat="false" ht="15" hidden="false" customHeight="true" outlineLevel="0" collapsed="false">
      <c r="A111" s="18" t="s">
        <v>165</v>
      </c>
      <c r="B111" s="19" t="n">
        <v>45319</v>
      </c>
      <c r="C111" s="18" t="s">
        <v>39</v>
      </c>
      <c r="D111" s="18" t="s">
        <v>24</v>
      </c>
      <c r="E111" s="18" t="s">
        <v>25</v>
      </c>
      <c r="F111" s="20" t="n">
        <v>8710</v>
      </c>
      <c r="G111" s="20" t="n">
        <v>1428.44</v>
      </c>
      <c r="H111" s="18" t="n">
        <v>5</v>
      </c>
      <c r="I111" s="20" t="n">
        <f aca="false">F111</f>
        <v>8710</v>
      </c>
      <c r="J111" s="22" t="n">
        <f aca="false">IFERROR(G111/F111,0)</f>
        <v>0.164</v>
      </c>
      <c r="K111" s="23" t="n">
        <f aca="false">MONTH(B111)</f>
        <v>1</v>
      </c>
    </row>
    <row r="112" customFormat="false" ht="15" hidden="false" customHeight="true" outlineLevel="0" collapsed="false">
      <c r="A112" s="18" t="s">
        <v>166</v>
      </c>
      <c r="B112" s="19" t="n">
        <v>45569</v>
      </c>
      <c r="C112" s="18" t="s">
        <v>41</v>
      </c>
      <c r="D112" s="18" t="s">
        <v>28</v>
      </c>
      <c r="E112" s="18" t="s">
        <v>29</v>
      </c>
      <c r="F112" s="20" t="n">
        <v>2608</v>
      </c>
      <c r="G112" s="20" t="n">
        <v>508.56</v>
      </c>
      <c r="H112" s="18" t="n">
        <v>1</v>
      </c>
      <c r="I112" s="20" t="n">
        <f aca="false">F112</f>
        <v>2608</v>
      </c>
      <c r="J112" s="22" t="n">
        <f aca="false">IFERROR(G112/F112,0)</f>
        <v>0.195</v>
      </c>
      <c r="K112" s="23" t="n">
        <f aca="false">MONTH(B112)</f>
        <v>10</v>
      </c>
    </row>
    <row r="113" customFormat="false" ht="15" hidden="false" customHeight="true" outlineLevel="0" collapsed="false">
      <c r="A113" s="18" t="s">
        <v>167</v>
      </c>
      <c r="B113" s="19" t="n">
        <v>45617</v>
      </c>
      <c r="C113" s="18" t="s">
        <v>41</v>
      </c>
      <c r="D113" s="18" t="s">
        <v>24</v>
      </c>
      <c r="E113" s="18" t="s">
        <v>25</v>
      </c>
      <c r="F113" s="20" t="n">
        <v>4572</v>
      </c>
      <c r="G113" s="20" t="n">
        <v>818.39</v>
      </c>
      <c r="H113" s="18" t="n">
        <v>2</v>
      </c>
      <c r="I113" s="20" t="n">
        <f aca="false">F113</f>
        <v>4572</v>
      </c>
      <c r="J113" s="22" t="n">
        <f aca="false">IFERROR(G113/F113,0)</f>
        <v>0.179000437445319</v>
      </c>
      <c r="K113" s="23" t="n">
        <f aca="false">MONTH(B113)</f>
        <v>11</v>
      </c>
    </row>
    <row r="114" customFormat="false" ht="15" hidden="false" customHeight="true" outlineLevel="0" collapsed="false">
      <c r="A114" s="18" t="s">
        <v>168</v>
      </c>
      <c r="B114" s="19" t="n">
        <v>45574</v>
      </c>
      <c r="C114" s="18" t="s">
        <v>27</v>
      </c>
      <c r="D114" s="18" t="s">
        <v>72</v>
      </c>
      <c r="E114" s="18" t="s">
        <v>29</v>
      </c>
      <c r="F114" s="20" t="n">
        <v>6832</v>
      </c>
      <c r="G114" s="20" t="n">
        <v>737.86</v>
      </c>
      <c r="H114" s="18" t="n">
        <v>1</v>
      </c>
      <c r="I114" s="20" t="n">
        <f aca="false">F114</f>
        <v>6832</v>
      </c>
      <c r="J114" s="22" t="n">
        <f aca="false">IFERROR(G114/F114,0)</f>
        <v>0.108000585480094</v>
      </c>
      <c r="K114" s="23" t="n">
        <f aca="false">MONTH(B114)</f>
        <v>10</v>
      </c>
    </row>
    <row r="115" customFormat="false" ht="15" hidden="false" customHeight="true" outlineLevel="0" collapsed="false">
      <c r="A115" s="18" t="s">
        <v>169</v>
      </c>
      <c r="B115" s="19" t="n">
        <v>45562</v>
      </c>
      <c r="C115" s="18" t="s">
        <v>23</v>
      </c>
      <c r="D115" s="18" t="s">
        <v>49</v>
      </c>
      <c r="E115" s="18" t="s">
        <v>50</v>
      </c>
      <c r="F115" s="20" t="n">
        <v>356</v>
      </c>
      <c r="G115" s="20" t="n">
        <v>124.96</v>
      </c>
      <c r="H115" s="18" t="n">
        <v>4</v>
      </c>
      <c r="I115" s="20" t="n">
        <f aca="false">F115</f>
        <v>356</v>
      </c>
      <c r="J115" s="22" t="n">
        <f aca="false">IFERROR(G115/F115,0)</f>
        <v>0.351011235955056</v>
      </c>
      <c r="K115" s="23" t="n">
        <f aca="false">MONTH(B115)</f>
        <v>9</v>
      </c>
    </row>
    <row r="116" customFormat="false" ht="15" hidden="false" customHeight="true" outlineLevel="0" collapsed="false">
      <c r="A116" s="18" t="s">
        <v>170</v>
      </c>
      <c r="B116" s="19" t="n">
        <v>45500</v>
      </c>
      <c r="C116" s="18" t="s">
        <v>39</v>
      </c>
      <c r="D116" s="18" t="s">
        <v>52</v>
      </c>
      <c r="E116" s="18" t="s">
        <v>32</v>
      </c>
      <c r="F116" s="20" t="n">
        <v>12396</v>
      </c>
      <c r="G116" s="20" t="n">
        <v>1524.71</v>
      </c>
      <c r="H116" s="18" t="n">
        <v>2</v>
      </c>
      <c r="I116" s="20" t="n">
        <f aca="false">F116</f>
        <v>12396</v>
      </c>
      <c r="J116" s="22" t="n">
        <f aca="false">IFERROR(G116/F116,0)</f>
        <v>0.123000161342369</v>
      </c>
      <c r="K116" s="23" t="n">
        <f aca="false">MONTH(B116)</f>
        <v>7</v>
      </c>
    </row>
    <row r="117" customFormat="false" ht="15" hidden="false" customHeight="true" outlineLevel="0" collapsed="false">
      <c r="A117" s="18" t="s">
        <v>171</v>
      </c>
      <c r="B117" s="19" t="n">
        <v>45315</v>
      </c>
      <c r="C117" s="18" t="s">
        <v>41</v>
      </c>
      <c r="D117" s="18" t="s">
        <v>83</v>
      </c>
      <c r="E117" s="18" t="s">
        <v>21</v>
      </c>
      <c r="F117" s="20" t="n">
        <v>16212</v>
      </c>
      <c r="G117" s="20" t="n">
        <v>3436.94</v>
      </c>
      <c r="H117" s="18" t="n">
        <v>6</v>
      </c>
      <c r="I117" s="20" t="n">
        <f aca="false">F117</f>
        <v>16212</v>
      </c>
      <c r="J117" s="22" t="n">
        <f aca="false">IFERROR(G117/F117,0)</f>
        <v>0.211999753269183</v>
      </c>
      <c r="K117" s="23" t="n">
        <f aca="false">MONTH(B117)</f>
        <v>1</v>
      </c>
    </row>
    <row r="118" customFormat="false" ht="15" hidden="false" customHeight="true" outlineLevel="0" collapsed="false">
      <c r="A118" s="18" t="s">
        <v>172</v>
      </c>
      <c r="B118" s="19" t="n">
        <v>45520</v>
      </c>
      <c r="C118" s="18" t="s">
        <v>27</v>
      </c>
      <c r="D118" s="18" t="s">
        <v>64</v>
      </c>
      <c r="E118" s="18" t="s">
        <v>32</v>
      </c>
      <c r="F118" s="20" t="n">
        <v>263490</v>
      </c>
      <c r="G118" s="20" t="n">
        <v>26085.51</v>
      </c>
      <c r="H118" s="18" t="n">
        <v>5</v>
      </c>
      <c r="I118" s="20" t="n">
        <f aca="false">F118</f>
        <v>263490</v>
      </c>
      <c r="J118" s="22" t="n">
        <f aca="false">IFERROR(G118/F118,0)</f>
        <v>0.099</v>
      </c>
      <c r="K118" s="23" t="n">
        <f aca="false">MONTH(B118)</f>
        <v>8</v>
      </c>
    </row>
    <row r="119" customFormat="false" ht="15" hidden="false" customHeight="true" outlineLevel="0" collapsed="false">
      <c r="A119" s="18" t="s">
        <v>173</v>
      </c>
      <c r="B119" s="19" t="n">
        <v>45491</v>
      </c>
      <c r="C119" s="18" t="s">
        <v>19</v>
      </c>
      <c r="D119" s="18" t="s">
        <v>24</v>
      </c>
      <c r="E119" s="18" t="s">
        <v>25</v>
      </c>
      <c r="F119" s="20" t="n">
        <v>9472</v>
      </c>
      <c r="G119" s="20" t="n">
        <v>2225.92</v>
      </c>
      <c r="H119" s="18" t="n">
        <v>8</v>
      </c>
      <c r="I119" s="20" t="n">
        <f aca="false">F119</f>
        <v>9472</v>
      </c>
      <c r="J119" s="22" t="n">
        <f aca="false">IFERROR(G119/F119,0)</f>
        <v>0.235</v>
      </c>
      <c r="K119" s="23" t="n">
        <f aca="false">MONTH(B119)</f>
        <v>7</v>
      </c>
    </row>
    <row r="120" customFormat="false" ht="15" hidden="false" customHeight="true" outlineLevel="0" collapsed="false">
      <c r="A120" s="18" t="s">
        <v>174</v>
      </c>
      <c r="B120" s="19" t="n">
        <v>45544</v>
      </c>
      <c r="C120" s="18" t="s">
        <v>39</v>
      </c>
      <c r="D120" s="18" t="s">
        <v>91</v>
      </c>
      <c r="E120" s="18" t="s">
        <v>25</v>
      </c>
      <c r="F120" s="20" t="n">
        <v>38826</v>
      </c>
      <c r="G120" s="20" t="n">
        <v>11997.23</v>
      </c>
      <c r="H120" s="18" t="n">
        <v>9</v>
      </c>
      <c r="I120" s="20" t="n">
        <f aca="false">F120</f>
        <v>38826</v>
      </c>
      <c r="J120" s="22" t="n">
        <f aca="false">IFERROR(G120/F120,0)</f>
        <v>0.308999896976253</v>
      </c>
      <c r="K120" s="23" t="n">
        <f aca="false">MONTH(B120)</f>
        <v>9</v>
      </c>
    </row>
    <row r="121" customFormat="false" ht="15" hidden="false" customHeight="true" outlineLevel="0" collapsed="false">
      <c r="A121" s="18" t="s">
        <v>175</v>
      </c>
      <c r="B121" s="19" t="n">
        <v>45538</v>
      </c>
      <c r="C121" s="18" t="s">
        <v>39</v>
      </c>
      <c r="D121" s="18" t="s">
        <v>88</v>
      </c>
      <c r="E121" s="18" t="s">
        <v>50</v>
      </c>
      <c r="F121" s="20" t="n">
        <v>134</v>
      </c>
      <c r="G121" s="20" t="n">
        <v>36.98</v>
      </c>
      <c r="H121" s="18" t="n">
        <v>1</v>
      </c>
      <c r="I121" s="20" t="n">
        <f aca="false">F121</f>
        <v>134</v>
      </c>
      <c r="J121" s="22" t="n">
        <f aca="false">IFERROR(G121/F121,0)</f>
        <v>0.275970149253731</v>
      </c>
      <c r="K121" s="23" t="n">
        <f aca="false">MONTH(B121)</f>
        <v>9</v>
      </c>
    </row>
    <row r="122" customFormat="false" ht="15" hidden="false" customHeight="true" outlineLevel="0" collapsed="false">
      <c r="A122" s="18" t="s">
        <v>176</v>
      </c>
      <c r="B122" s="19" t="n">
        <v>45631</v>
      </c>
      <c r="C122" s="18" t="s">
        <v>27</v>
      </c>
      <c r="D122" s="18" t="s">
        <v>46</v>
      </c>
      <c r="E122" s="18" t="s">
        <v>29</v>
      </c>
      <c r="F122" s="20" t="n">
        <v>18028</v>
      </c>
      <c r="G122" s="20" t="n">
        <v>2343.64</v>
      </c>
      <c r="H122" s="18" t="n">
        <v>2</v>
      </c>
      <c r="I122" s="20" t="n">
        <f aca="false">F122</f>
        <v>18028</v>
      </c>
      <c r="J122" s="22" t="n">
        <f aca="false">IFERROR(G122/F122,0)</f>
        <v>0.13</v>
      </c>
      <c r="K122" s="23" t="n">
        <f aca="false">MONTH(B122)</f>
        <v>12</v>
      </c>
    </row>
    <row r="123" customFormat="false" ht="15" hidden="false" customHeight="true" outlineLevel="0" collapsed="false">
      <c r="A123" s="18" t="s">
        <v>177</v>
      </c>
      <c r="B123" s="19" t="n">
        <v>45570</v>
      </c>
      <c r="C123" s="18" t="s">
        <v>27</v>
      </c>
      <c r="D123" s="18" t="s">
        <v>72</v>
      </c>
      <c r="E123" s="18" t="s">
        <v>29</v>
      </c>
      <c r="F123" s="20" t="n">
        <v>61334</v>
      </c>
      <c r="G123" s="20" t="n">
        <v>7666.75</v>
      </c>
      <c r="H123" s="18" t="n">
        <v>7</v>
      </c>
      <c r="I123" s="20" t="n">
        <f aca="false">F123</f>
        <v>61334</v>
      </c>
      <c r="J123" s="22" t="n">
        <f aca="false">IFERROR(G123/F123,0)</f>
        <v>0.125</v>
      </c>
      <c r="K123" s="23" t="n">
        <f aca="false">MONTH(B123)</f>
        <v>10</v>
      </c>
    </row>
    <row r="124" customFormat="false" ht="15" hidden="false" customHeight="true" outlineLevel="0" collapsed="false">
      <c r="A124" s="18" t="s">
        <v>178</v>
      </c>
      <c r="B124" s="19" t="n">
        <v>45304</v>
      </c>
      <c r="C124" s="18" t="s">
        <v>27</v>
      </c>
      <c r="D124" s="18" t="s">
        <v>52</v>
      </c>
      <c r="E124" s="18" t="s">
        <v>32</v>
      </c>
      <c r="F124" s="20" t="n">
        <v>21035</v>
      </c>
      <c r="G124" s="20" t="n">
        <v>3618.02</v>
      </c>
      <c r="H124" s="18" t="n">
        <v>5</v>
      </c>
      <c r="I124" s="20" t="n">
        <f aca="false">F124</f>
        <v>21035</v>
      </c>
      <c r="J124" s="22" t="n">
        <f aca="false">IFERROR(G124/F124,0)</f>
        <v>0.172</v>
      </c>
      <c r="K124" s="23" t="n">
        <f aca="false">MONTH(B124)</f>
        <v>1</v>
      </c>
    </row>
    <row r="125" customFormat="false" ht="15" hidden="false" customHeight="true" outlineLevel="0" collapsed="false">
      <c r="A125" s="18" t="s">
        <v>179</v>
      </c>
      <c r="B125" s="19" t="n">
        <v>45459</v>
      </c>
      <c r="C125" s="18" t="s">
        <v>23</v>
      </c>
      <c r="D125" s="18" t="s">
        <v>62</v>
      </c>
      <c r="E125" s="18" t="s">
        <v>50</v>
      </c>
      <c r="F125" s="20" t="n">
        <v>184</v>
      </c>
      <c r="G125" s="20" t="n">
        <v>63.11</v>
      </c>
      <c r="H125" s="18" t="n">
        <v>2</v>
      </c>
      <c r="I125" s="20" t="n">
        <f aca="false">F125</f>
        <v>184</v>
      </c>
      <c r="J125" s="22" t="n">
        <f aca="false">IFERROR(G125/F125,0)</f>
        <v>0.342989130434783</v>
      </c>
      <c r="K125" s="23" t="n">
        <f aca="false">MONTH(B125)</f>
        <v>6</v>
      </c>
    </row>
    <row r="126" customFormat="false" ht="15" hidden="false" customHeight="true" outlineLevel="0" collapsed="false">
      <c r="A126" s="18" t="s">
        <v>180</v>
      </c>
      <c r="B126" s="19" t="n">
        <v>45570</v>
      </c>
      <c r="C126" s="18" t="s">
        <v>27</v>
      </c>
      <c r="D126" s="18" t="s">
        <v>83</v>
      </c>
      <c r="E126" s="18" t="s">
        <v>21</v>
      </c>
      <c r="F126" s="20" t="n">
        <v>10356</v>
      </c>
      <c r="G126" s="20" t="n">
        <v>2195.47</v>
      </c>
      <c r="H126" s="18" t="n">
        <v>4</v>
      </c>
      <c r="I126" s="20" t="n">
        <f aca="false">F126</f>
        <v>10356</v>
      </c>
      <c r="J126" s="22" t="n">
        <f aca="false">IFERROR(G126/F126,0)</f>
        <v>0.211999806875241</v>
      </c>
      <c r="K126" s="23" t="n">
        <f aca="false">MONTH(B126)</f>
        <v>10</v>
      </c>
    </row>
    <row r="127" customFormat="false" ht="15" hidden="false" customHeight="true" outlineLevel="0" collapsed="false">
      <c r="A127" s="18" t="s">
        <v>181</v>
      </c>
      <c r="B127" s="19" t="n">
        <v>45394</v>
      </c>
      <c r="C127" s="18" t="s">
        <v>41</v>
      </c>
      <c r="D127" s="18" t="s">
        <v>42</v>
      </c>
      <c r="E127" s="18" t="s">
        <v>21</v>
      </c>
      <c r="F127" s="20" t="n">
        <v>11478</v>
      </c>
      <c r="G127" s="20" t="n">
        <v>1457.71</v>
      </c>
      <c r="H127" s="18" t="n">
        <v>1</v>
      </c>
      <c r="I127" s="20" t="n">
        <f aca="false">F127</f>
        <v>11478</v>
      </c>
      <c r="J127" s="22" t="n">
        <f aca="false">IFERROR(G127/F127,0)</f>
        <v>0.127000348492769</v>
      </c>
      <c r="K127" s="23" t="n">
        <f aca="false">MONTH(B127)</f>
        <v>4</v>
      </c>
    </row>
    <row r="128" customFormat="false" ht="15" hidden="false" customHeight="true" outlineLevel="0" collapsed="false">
      <c r="A128" s="18" t="s">
        <v>182</v>
      </c>
      <c r="B128" s="19" t="n">
        <v>45546</v>
      </c>
      <c r="C128" s="18" t="s">
        <v>19</v>
      </c>
      <c r="D128" s="18" t="s">
        <v>24</v>
      </c>
      <c r="E128" s="18" t="s">
        <v>25</v>
      </c>
      <c r="F128" s="20" t="n">
        <v>10314</v>
      </c>
      <c r="G128" s="20" t="n">
        <v>3197.34</v>
      </c>
      <c r="H128" s="18" t="n">
        <v>9</v>
      </c>
      <c r="I128" s="20" t="n">
        <f aca="false">F128</f>
        <v>10314</v>
      </c>
      <c r="J128" s="22" t="n">
        <f aca="false">IFERROR(G128/F128,0)</f>
        <v>0.31</v>
      </c>
      <c r="K128" s="23" t="n">
        <f aca="false">MONTH(B128)</f>
        <v>9</v>
      </c>
    </row>
    <row r="129" customFormat="false" ht="15" hidden="false" customHeight="true" outlineLevel="0" collapsed="false">
      <c r="A129" s="18" t="s">
        <v>183</v>
      </c>
      <c r="B129" s="19" t="n">
        <v>45398</v>
      </c>
      <c r="C129" s="18" t="s">
        <v>23</v>
      </c>
      <c r="D129" s="18" t="s">
        <v>70</v>
      </c>
      <c r="E129" s="18" t="s">
        <v>21</v>
      </c>
      <c r="F129" s="20" t="n">
        <v>217744</v>
      </c>
      <c r="G129" s="20" t="n">
        <v>36798.74</v>
      </c>
      <c r="H129" s="18" t="n">
        <v>8</v>
      </c>
      <c r="I129" s="20" t="n">
        <f aca="false">F129</f>
        <v>217744</v>
      </c>
      <c r="J129" s="22" t="n">
        <f aca="false">IFERROR(G129/F129,0)</f>
        <v>0.169000018370196</v>
      </c>
      <c r="K129" s="23" t="n">
        <f aca="false">MONTH(B129)</f>
        <v>4</v>
      </c>
    </row>
    <row r="130" customFormat="false" ht="15" hidden="false" customHeight="true" outlineLevel="0" collapsed="false">
      <c r="A130" s="18" t="s">
        <v>184</v>
      </c>
      <c r="B130" s="19" t="n">
        <v>45360</v>
      </c>
      <c r="C130" s="18" t="s">
        <v>19</v>
      </c>
      <c r="D130" s="18" t="s">
        <v>91</v>
      </c>
      <c r="E130" s="18" t="s">
        <v>25</v>
      </c>
      <c r="F130" s="20" t="n">
        <v>34960</v>
      </c>
      <c r="G130" s="20" t="n">
        <v>11012.4</v>
      </c>
      <c r="H130" s="18" t="n">
        <v>8</v>
      </c>
      <c r="I130" s="20" t="n">
        <f aca="false">F130</f>
        <v>34960</v>
      </c>
      <c r="J130" s="22" t="n">
        <f aca="false">IFERROR(G130/F130,0)</f>
        <v>0.315</v>
      </c>
      <c r="K130" s="23" t="n">
        <f aca="false">MONTH(B130)</f>
        <v>3</v>
      </c>
    </row>
    <row r="131" customFormat="false" ht="15" hidden="false" customHeight="true" outlineLevel="0" collapsed="false">
      <c r="A131" s="18" t="s">
        <v>185</v>
      </c>
      <c r="B131" s="19" t="n">
        <v>45414</v>
      </c>
      <c r="C131" s="18" t="s">
        <v>23</v>
      </c>
      <c r="D131" s="18" t="s">
        <v>88</v>
      </c>
      <c r="E131" s="18" t="s">
        <v>50</v>
      </c>
      <c r="F131" s="20" t="n">
        <v>1040</v>
      </c>
      <c r="G131" s="20" t="n">
        <v>217.36</v>
      </c>
      <c r="H131" s="18" t="n">
        <v>4</v>
      </c>
      <c r="I131" s="20" t="n">
        <f aca="false">F131</f>
        <v>1040</v>
      </c>
      <c r="J131" s="22" t="n">
        <f aca="false">IFERROR(G131/F131,0)</f>
        <v>0.209</v>
      </c>
      <c r="K131" s="23" t="n">
        <f aca="false">MONTH(B131)</f>
        <v>5</v>
      </c>
    </row>
    <row r="132" customFormat="false" ht="15" hidden="false" customHeight="true" outlineLevel="0" collapsed="false">
      <c r="A132" s="18" t="s">
        <v>186</v>
      </c>
      <c r="B132" s="19" t="n">
        <v>45586</v>
      </c>
      <c r="C132" s="18" t="s">
        <v>27</v>
      </c>
      <c r="D132" s="18" t="s">
        <v>88</v>
      </c>
      <c r="E132" s="18" t="s">
        <v>50</v>
      </c>
      <c r="F132" s="20" t="n">
        <v>352</v>
      </c>
      <c r="G132" s="20" t="n">
        <v>111.94</v>
      </c>
      <c r="H132" s="18" t="n">
        <v>4</v>
      </c>
      <c r="I132" s="20" t="n">
        <f aca="false">F132</f>
        <v>352</v>
      </c>
      <c r="J132" s="22" t="n">
        <f aca="false">IFERROR(G132/F132,0)</f>
        <v>0.318011363636364</v>
      </c>
      <c r="K132" s="23" t="n">
        <f aca="false">MONTH(B132)</f>
        <v>10</v>
      </c>
    </row>
    <row r="133" customFormat="false" ht="15" hidden="false" customHeight="true" outlineLevel="0" collapsed="false">
      <c r="A133" s="18" t="s">
        <v>187</v>
      </c>
      <c r="B133" s="19" t="n">
        <v>45372</v>
      </c>
      <c r="C133" s="18" t="s">
        <v>19</v>
      </c>
      <c r="D133" s="18" t="s">
        <v>36</v>
      </c>
      <c r="E133" s="18" t="s">
        <v>25</v>
      </c>
      <c r="F133" s="20" t="n">
        <v>4888</v>
      </c>
      <c r="G133" s="20" t="n">
        <v>958.05</v>
      </c>
      <c r="H133" s="18" t="n">
        <v>2</v>
      </c>
      <c r="I133" s="20" t="n">
        <f aca="false">F133</f>
        <v>4888</v>
      </c>
      <c r="J133" s="22" t="n">
        <f aca="false">IFERROR(G133/F133,0)</f>
        <v>0.196000409165303</v>
      </c>
      <c r="K133" s="23" t="n">
        <f aca="false">MONTH(B133)</f>
        <v>3</v>
      </c>
    </row>
    <row r="134" customFormat="false" ht="15" hidden="false" customHeight="true" outlineLevel="0" collapsed="false">
      <c r="A134" s="18" t="s">
        <v>188</v>
      </c>
      <c r="B134" s="19" t="n">
        <v>45469</v>
      </c>
      <c r="C134" s="18" t="s">
        <v>39</v>
      </c>
      <c r="D134" s="18" t="s">
        <v>83</v>
      </c>
      <c r="E134" s="18" t="s">
        <v>21</v>
      </c>
      <c r="F134" s="20" t="n">
        <v>17392</v>
      </c>
      <c r="G134" s="20" t="n">
        <v>2156.61</v>
      </c>
      <c r="H134" s="18" t="n">
        <v>4</v>
      </c>
      <c r="I134" s="20" t="n">
        <f aca="false">F134</f>
        <v>17392</v>
      </c>
      <c r="J134" s="22" t="n">
        <f aca="false">IFERROR(G134/F134,0)</f>
        <v>0.1240001149954</v>
      </c>
      <c r="K134" s="23" t="n">
        <f aca="false">MONTH(B134)</f>
        <v>6</v>
      </c>
    </row>
    <row r="135" customFormat="false" ht="15" hidden="false" customHeight="true" outlineLevel="0" collapsed="false">
      <c r="A135" s="18" t="s">
        <v>189</v>
      </c>
      <c r="B135" s="19" t="n">
        <v>45532</v>
      </c>
      <c r="C135" s="18" t="s">
        <v>41</v>
      </c>
      <c r="D135" s="18" t="s">
        <v>75</v>
      </c>
      <c r="E135" s="18" t="s">
        <v>29</v>
      </c>
      <c r="F135" s="20" t="n">
        <v>16303</v>
      </c>
      <c r="G135" s="20" t="n">
        <v>2037.88</v>
      </c>
      <c r="H135" s="18" t="n">
        <v>7</v>
      </c>
      <c r="I135" s="20" t="n">
        <f aca="false">F135</f>
        <v>16303</v>
      </c>
      <c r="J135" s="22" t="n">
        <f aca="false">IFERROR(G135/F135,0)</f>
        <v>0.12500030669202</v>
      </c>
      <c r="K135" s="23" t="n">
        <f aca="false">MONTH(B135)</f>
        <v>8</v>
      </c>
    </row>
    <row r="136" customFormat="false" ht="15" hidden="false" customHeight="true" outlineLevel="0" collapsed="false">
      <c r="A136" s="18" t="s">
        <v>190</v>
      </c>
      <c r="B136" s="19" t="n">
        <v>45512</v>
      </c>
      <c r="C136" s="18" t="s">
        <v>39</v>
      </c>
      <c r="D136" s="18" t="s">
        <v>120</v>
      </c>
      <c r="E136" s="18" t="s">
        <v>29</v>
      </c>
      <c r="F136" s="20" t="n">
        <v>60011</v>
      </c>
      <c r="G136" s="20" t="n">
        <v>6301.15</v>
      </c>
      <c r="H136" s="18" t="n">
        <v>7</v>
      </c>
      <c r="I136" s="20" t="n">
        <f aca="false">F136</f>
        <v>60011</v>
      </c>
      <c r="J136" s="22" t="n">
        <f aca="false">IFERROR(G136/F136,0)</f>
        <v>0.104999916681942</v>
      </c>
      <c r="K136" s="23" t="n">
        <f aca="false">MONTH(B136)</f>
        <v>8</v>
      </c>
    </row>
    <row r="137" customFormat="false" ht="15" hidden="false" customHeight="true" outlineLevel="0" collapsed="false">
      <c r="A137" s="18" t="s">
        <v>191</v>
      </c>
      <c r="B137" s="19" t="n">
        <v>45572</v>
      </c>
      <c r="C137" s="18" t="s">
        <v>23</v>
      </c>
      <c r="D137" s="18" t="s">
        <v>20</v>
      </c>
      <c r="E137" s="18" t="s">
        <v>21</v>
      </c>
      <c r="F137" s="20" t="n">
        <v>117920</v>
      </c>
      <c r="G137" s="20" t="n">
        <v>16390.88</v>
      </c>
      <c r="H137" s="18" t="n">
        <v>10</v>
      </c>
      <c r="I137" s="20" t="n">
        <f aca="false">F137</f>
        <v>117920</v>
      </c>
      <c r="J137" s="22" t="n">
        <f aca="false">IFERROR(G137/F137,0)</f>
        <v>0.139</v>
      </c>
      <c r="K137" s="23" t="n">
        <f aca="false">MONTH(B137)</f>
        <v>10</v>
      </c>
    </row>
    <row r="138" customFormat="false" ht="15" hidden="false" customHeight="true" outlineLevel="0" collapsed="false">
      <c r="A138" s="18" t="s">
        <v>192</v>
      </c>
      <c r="B138" s="19" t="n">
        <v>45441</v>
      </c>
      <c r="C138" s="18" t="s">
        <v>41</v>
      </c>
      <c r="D138" s="18" t="s">
        <v>24</v>
      </c>
      <c r="E138" s="18" t="s">
        <v>25</v>
      </c>
      <c r="F138" s="20" t="n">
        <v>13846</v>
      </c>
      <c r="G138" s="20" t="n">
        <v>3461.5</v>
      </c>
      <c r="H138" s="18" t="n">
        <v>7</v>
      </c>
      <c r="I138" s="20" t="n">
        <f aca="false">F138</f>
        <v>13846</v>
      </c>
      <c r="J138" s="22" t="n">
        <f aca="false">IFERROR(G138/F138,0)</f>
        <v>0.25</v>
      </c>
      <c r="K138" s="23" t="n">
        <f aca="false">MONTH(B138)</f>
        <v>5</v>
      </c>
    </row>
    <row r="139" customFormat="false" ht="15" hidden="false" customHeight="true" outlineLevel="0" collapsed="false">
      <c r="A139" s="18" t="s">
        <v>193</v>
      </c>
      <c r="B139" s="19" t="n">
        <v>45577</v>
      </c>
      <c r="C139" s="18" t="s">
        <v>23</v>
      </c>
      <c r="D139" s="18" t="s">
        <v>91</v>
      </c>
      <c r="E139" s="18" t="s">
        <v>25</v>
      </c>
      <c r="F139" s="20" t="n">
        <v>11292</v>
      </c>
      <c r="G139" s="20" t="n">
        <v>3229.51</v>
      </c>
      <c r="H139" s="18" t="n">
        <v>3</v>
      </c>
      <c r="I139" s="20" t="n">
        <f aca="false">F139</f>
        <v>11292</v>
      </c>
      <c r="J139" s="22" t="n">
        <f aca="false">IFERROR(G139/F139,0)</f>
        <v>0.285999822883457</v>
      </c>
      <c r="K139" s="23" t="n">
        <f aca="false">MONTH(B139)</f>
        <v>10</v>
      </c>
    </row>
    <row r="140" customFormat="false" ht="15" hidden="false" customHeight="true" outlineLevel="0" collapsed="false">
      <c r="A140" s="18" t="s">
        <v>194</v>
      </c>
      <c r="B140" s="19" t="n">
        <v>45495</v>
      </c>
      <c r="C140" s="18" t="s">
        <v>27</v>
      </c>
      <c r="D140" s="18" t="s">
        <v>44</v>
      </c>
      <c r="E140" s="18" t="s">
        <v>32</v>
      </c>
      <c r="F140" s="20" t="n">
        <v>6030</v>
      </c>
      <c r="G140" s="20" t="n">
        <v>488.43</v>
      </c>
      <c r="H140" s="18" t="n">
        <v>5</v>
      </c>
      <c r="I140" s="20" t="n">
        <f aca="false">F140</f>
        <v>6030</v>
      </c>
      <c r="J140" s="22" t="n">
        <f aca="false">IFERROR(G140/F140,0)</f>
        <v>0.081</v>
      </c>
      <c r="K140" s="23" t="n">
        <f aca="false">MONTH(B140)</f>
        <v>7</v>
      </c>
    </row>
    <row r="141" customFormat="false" ht="15" hidden="false" customHeight="true" outlineLevel="0" collapsed="false">
      <c r="A141" s="18" t="s">
        <v>195</v>
      </c>
      <c r="B141" s="19" t="n">
        <v>45620</v>
      </c>
      <c r="C141" s="18" t="s">
        <v>23</v>
      </c>
      <c r="D141" s="18" t="s">
        <v>83</v>
      </c>
      <c r="E141" s="18" t="s">
        <v>21</v>
      </c>
      <c r="F141" s="20" t="n">
        <v>47492</v>
      </c>
      <c r="G141" s="20" t="n">
        <v>8263.61</v>
      </c>
      <c r="H141" s="18" t="n">
        <v>4</v>
      </c>
      <c r="I141" s="20" t="n">
        <f aca="false">F141</f>
        <v>47492</v>
      </c>
      <c r="J141" s="22" t="n">
        <f aca="false">IFERROR(G141/F141,0)</f>
        <v>0.174000042112356</v>
      </c>
      <c r="K141" s="23" t="n">
        <f aca="false">MONTH(B141)</f>
        <v>11</v>
      </c>
    </row>
    <row r="142" customFormat="false" ht="15" hidden="false" customHeight="true" outlineLevel="0" collapsed="false">
      <c r="A142" s="18" t="s">
        <v>196</v>
      </c>
      <c r="B142" s="19" t="n">
        <v>45326</v>
      </c>
      <c r="C142" s="18" t="s">
        <v>41</v>
      </c>
      <c r="D142" s="18" t="s">
        <v>88</v>
      </c>
      <c r="E142" s="18" t="s">
        <v>50</v>
      </c>
      <c r="F142" s="20" t="n">
        <v>2277</v>
      </c>
      <c r="G142" s="20" t="n">
        <v>705.87</v>
      </c>
      <c r="H142" s="18" t="n">
        <v>9</v>
      </c>
      <c r="I142" s="20" t="n">
        <f aca="false">F142</f>
        <v>2277</v>
      </c>
      <c r="J142" s="22" t="n">
        <f aca="false">IFERROR(G142/F142,0)</f>
        <v>0.31</v>
      </c>
      <c r="K142" s="23" t="n">
        <f aca="false">MONTH(B142)</f>
        <v>2</v>
      </c>
    </row>
    <row r="143" customFormat="false" ht="15" hidden="false" customHeight="true" outlineLevel="0" collapsed="false">
      <c r="A143" s="18" t="s">
        <v>197</v>
      </c>
      <c r="B143" s="19" t="n">
        <v>45350</v>
      </c>
      <c r="C143" s="18" t="s">
        <v>23</v>
      </c>
      <c r="D143" s="18" t="s">
        <v>28</v>
      </c>
      <c r="E143" s="18" t="s">
        <v>29</v>
      </c>
      <c r="F143" s="20" t="n">
        <v>19448</v>
      </c>
      <c r="G143" s="20" t="n">
        <v>2625.48</v>
      </c>
      <c r="H143" s="18" t="n">
        <v>4</v>
      </c>
      <c r="I143" s="20" t="n">
        <f aca="false">F143</f>
        <v>19448</v>
      </c>
      <c r="J143" s="22" t="n">
        <f aca="false">IFERROR(G143/F143,0)</f>
        <v>0.135</v>
      </c>
      <c r="K143" s="23" t="n">
        <f aca="false">MONTH(B143)</f>
        <v>2</v>
      </c>
    </row>
    <row r="144" customFormat="false" ht="15" hidden="false" customHeight="true" outlineLevel="0" collapsed="false">
      <c r="A144" s="18" t="s">
        <v>198</v>
      </c>
      <c r="B144" s="19" t="n">
        <v>45582</v>
      </c>
      <c r="C144" s="18" t="s">
        <v>23</v>
      </c>
      <c r="D144" s="18" t="s">
        <v>52</v>
      </c>
      <c r="E144" s="18" t="s">
        <v>32</v>
      </c>
      <c r="F144" s="20" t="n">
        <v>18786</v>
      </c>
      <c r="G144" s="20" t="n">
        <v>2348.25</v>
      </c>
      <c r="H144" s="18" t="n">
        <v>6</v>
      </c>
      <c r="I144" s="20" t="n">
        <f aca="false">F144</f>
        <v>18786</v>
      </c>
      <c r="J144" s="22" t="n">
        <f aca="false">IFERROR(G144/F144,0)</f>
        <v>0.125</v>
      </c>
      <c r="K144" s="23" t="n">
        <f aca="false">MONTH(B144)</f>
        <v>10</v>
      </c>
    </row>
    <row r="145" customFormat="false" ht="15" hidden="false" customHeight="true" outlineLevel="0" collapsed="false">
      <c r="A145" s="18" t="s">
        <v>199</v>
      </c>
      <c r="B145" s="19" t="n">
        <v>45434</v>
      </c>
      <c r="C145" s="18" t="s">
        <v>19</v>
      </c>
      <c r="D145" s="18" t="s">
        <v>75</v>
      </c>
      <c r="E145" s="18" t="s">
        <v>29</v>
      </c>
      <c r="F145" s="20" t="n">
        <v>21933</v>
      </c>
      <c r="G145" s="20" t="n">
        <v>3684.74</v>
      </c>
      <c r="H145" s="18" t="n">
        <v>9</v>
      </c>
      <c r="I145" s="20" t="n">
        <f aca="false">F145</f>
        <v>21933</v>
      </c>
      <c r="J145" s="22" t="n">
        <f aca="false">IFERROR(G145/F145,0)</f>
        <v>0.167999817626408</v>
      </c>
      <c r="K145" s="23" t="n">
        <f aca="false">MONTH(B145)</f>
        <v>5</v>
      </c>
    </row>
    <row r="146" customFormat="false" ht="15" hidden="false" customHeight="true" outlineLevel="0" collapsed="false">
      <c r="A146" s="18" t="s">
        <v>200</v>
      </c>
      <c r="B146" s="19" t="n">
        <v>45296</v>
      </c>
      <c r="C146" s="18" t="s">
        <v>23</v>
      </c>
      <c r="D146" s="18" t="s">
        <v>75</v>
      </c>
      <c r="E146" s="18" t="s">
        <v>29</v>
      </c>
      <c r="F146" s="20" t="n">
        <v>7806</v>
      </c>
      <c r="G146" s="20" t="n">
        <v>1053.81</v>
      </c>
      <c r="H146" s="18" t="n">
        <v>3</v>
      </c>
      <c r="I146" s="20" t="n">
        <f aca="false">F146</f>
        <v>7806</v>
      </c>
      <c r="J146" s="22" t="n">
        <f aca="false">IFERROR(G146/F146,0)</f>
        <v>0.135</v>
      </c>
      <c r="K146" s="23" t="n">
        <f aca="false">MONTH(B146)</f>
        <v>1</v>
      </c>
    </row>
    <row r="147" customFormat="false" ht="15" hidden="false" customHeight="true" outlineLevel="0" collapsed="false">
      <c r="A147" s="18" t="s">
        <v>201</v>
      </c>
      <c r="B147" s="19" t="n">
        <v>45319</v>
      </c>
      <c r="C147" s="18" t="s">
        <v>39</v>
      </c>
      <c r="D147" s="18" t="s">
        <v>62</v>
      </c>
      <c r="E147" s="18" t="s">
        <v>50</v>
      </c>
      <c r="F147" s="20" t="n">
        <v>1098</v>
      </c>
      <c r="G147" s="20" t="n">
        <v>387.59</v>
      </c>
      <c r="H147" s="18" t="n">
        <v>6</v>
      </c>
      <c r="I147" s="20" t="n">
        <f aca="false">F147</f>
        <v>1098</v>
      </c>
      <c r="J147" s="22" t="n">
        <f aca="false">IFERROR(G147/F147,0)</f>
        <v>0.35299635701275</v>
      </c>
      <c r="K147" s="23" t="n">
        <f aca="false">MONTH(B147)</f>
        <v>1</v>
      </c>
    </row>
    <row r="148" customFormat="false" ht="15" hidden="false" customHeight="true" outlineLevel="0" collapsed="false">
      <c r="A148" s="18" t="s">
        <v>202</v>
      </c>
      <c r="B148" s="19" t="n">
        <v>45556</v>
      </c>
      <c r="C148" s="18" t="s">
        <v>39</v>
      </c>
      <c r="D148" s="18" t="s">
        <v>120</v>
      </c>
      <c r="E148" s="18" t="s">
        <v>29</v>
      </c>
      <c r="F148" s="20" t="n">
        <v>51129</v>
      </c>
      <c r="G148" s="20" t="n">
        <v>5317.42</v>
      </c>
      <c r="H148" s="18" t="n">
        <v>3</v>
      </c>
      <c r="I148" s="20" t="n">
        <f aca="false">F148</f>
        <v>51129</v>
      </c>
      <c r="J148" s="22" t="n">
        <f aca="false">IFERROR(G148/F148,0)</f>
        <v>0.104000078233488</v>
      </c>
      <c r="K148" s="23" t="n">
        <f aca="false">MONTH(B148)</f>
        <v>9</v>
      </c>
    </row>
    <row r="149" customFormat="false" ht="15" hidden="false" customHeight="true" outlineLevel="0" collapsed="false">
      <c r="A149" s="18" t="s">
        <v>203</v>
      </c>
      <c r="B149" s="19" t="n">
        <v>45363</v>
      </c>
      <c r="C149" s="18" t="s">
        <v>41</v>
      </c>
      <c r="D149" s="18" t="s">
        <v>28</v>
      </c>
      <c r="E149" s="18" t="s">
        <v>29</v>
      </c>
      <c r="F149" s="20" t="n">
        <v>14634</v>
      </c>
      <c r="G149" s="20" t="n">
        <v>1609.74</v>
      </c>
      <c r="H149" s="18" t="n">
        <v>6</v>
      </c>
      <c r="I149" s="20" t="n">
        <f aca="false">F149</f>
        <v>14634</v>
      </c>
      <c r="J149" s="22" t="n">
        <f aca="false">IFERROR(G149/F149,0)</f>
        <v>0.11</v>
      </c>
      <c r="K149" s="23" t="n">
        <f aca="false">MONTH(B149)</f>
        <v>3</v>
      </c>
    </row>
    <row r="150" customFormat="false" ht="15" hidden="false" customHeight="true" outlineLevel="0" collapsed="false">
      <c r="A150" s="18" t="s">
        <v>204</v>
      </c>
      <c r="B150" s="19" t="n">
        <v>45568</v>
      </c>
      <c r="C150" s="18" t="s">
        <v>41</v>
      </c>
      <c r="D150" s="18" t="s">
        <v>93</v>
      </c>
      <c r="E150" s="18" t="s">
        <v>32</v>
      </c>
      <c r="F150" s="20" t="n">
        <v>15864</v>
      </c>
      <c r="G150" s="20" t="n">
        <v>1871.95</v>
      </c>
      <c r="H150" s="18" t="n">
        <v>3</v>
      </c>
      <c r="I150" s="20" t="n">
        <f aca="false">F150</f>
        <v>15864</v>
      </c>
      <c r="J150" s="22" t="n">
        <f aca="false">IFERROR(G150/F150,0)</f>
        <v>0.117999873928391</v>
      </c>
      <c r="K150" s="23" t="n">
        <f aca="false">MONTH(B150)</f>
        <v>10</v>
      </c>
    </row>
    <row r="151" customFormat="false" ht="15" hidden="false" customHeight="true" outlineLevel="0" collapsed="false">
      <c r="A151" s="18" t="s">
        <v>205</v>
      </c>
      <c r="B151" s="19" t="n">
        <v>45320</v>
      </c>
      <c r="C151" s="18" t="s">
        <v>41</v>
      </c>
      <c r="D151" s="18" t="s">
        <v>28</v>
      </c>
      <c r="E151" s="18" t="s">
        <v>29</v>
      </c>
      <c r="F151" s="20" t="n">
        <v>13473</v>
      </c>
      <c r="G151" s="20" t="n">
        <v>1562.87</v>
      </c>
      <c r="H151" s="18" t="n">
        <v>3</v>
      </c>
      <c r="I151" s="20" t="n">
        <f aca="false">F151</f>
        <v>13473</v>
      </c>
      <c r="J151" s="22" t="n">
        <f aca="false">IFERROR(G151/F151,0)</f>
        <v>0.116000148445038</v>
      </c>
      <c r="K151" s="23" t="n">
        <f aca="false">MONTH(B151)</f>
        <v>1</v>
      </c>
    </row>
    <row r="152" customFormat="false" ht="15" hidden="false" customHeight="true" outlineLevel="0" collapsed="false">
      <c r="A152" s="18" t="s">
        <v>206</v>
      </c>
      <c r="B152" s="19" t="n">
        <v>45339</v>
      </c>
      <c r="C152" s="18" t="s">
        <v>39</v>
      </c>
      <c r="D152" s="18" t="s">
        <v>42</v>
      </c>
      <c r="E152" s="18" t="s">
        <v>21</v>
      </c>
      <c r="F152" s="20" t="n">
        <v>124767</v>
      </c>
      <c r="G152" s="20" t="n">
        <v>15346.34</v>
      </c>
      <c r="H152" s="18" t="n">
        <v>9</v>
      </c>
      <c r="I152" s="20" t="n">
        <f aca="false">F152</f>
        <v>124767</v>
      </c>
      <c r="J152" s="22" t="n">
        <f aca="false">IFERROR(G152/F152,0)</f>
        <v>0.12299999198506</v>
      </c>
      <c r="K152" s="23" t="n">
        <f aca="false">MONTH(B152)</f>
        <v>2</v>
      </c>
    </row>
    <row r="153" customFormat="false" ht="15" hidden="false" customHeight="true" outlineLevel="0" collapsed="false">
      <c r="A153" s="18" t="s">
        <v>207</v>
      </c>
      <c r="B153" s="19" t="n">
        <v>45418</v>
      </c>
      <c r="C153" s="18" t="s">
        <v>39</v>
      </c>
      <c r="D153" s="18" t="s">
        <v>52</v>
      </c>
      <c r="E153" s="18" t="s">
        <v>32</v>
      </c>
      <c r="F153" s="20" t="n">
        <v>3177</v>
      </c>
      <c r="G153" s="20" t="n">
        <v>555.97</v>
      </c>
      <c r="H153" s="18" t="n">
        <v>1</v>
      </c>
      <c r="I153" s="20" t="n">
        <f aca="false">F153</f>
        <v>3177</v>
      </c>
      <c r="J153" s="22" t="n">
        <f aca="false">IFERROR(G153/F153,0)</f>
        <v>0.174998426188228</v>
      </c>
      <c r="K153" s="23" t="n">
        <f aca="false">MONTH(B153)</f>
        <v>5</v>
      </c>
    </row>
    <row r="154" customFormat="false" ht="15" hidden="false" customHeight="true" outlineLevel="0" collapsed="false">
      <c r="A154" s="18" t="s">
        <v>208</v>
      </c>
      <c r="B154" s="19" t="n">
        <v>45397</v>
      </c>
      <c r="C154" s="18" t="s">
        <v>19</v>
      </c>
      <c r="D154" s="18" t="s">
        <v>36</v>
      </c>
      <c r="E154" s="18" t="s">
        <v>25</v>
      </c>
      <c r="F154" s="20" t="n">
        <v>4666</v>
      </c>
      <c r="G154" s="20" t="n">
        <v>1446.46</v>
      </c>
      <c r="H154" s="18" t="n">
        <v>2</v>
      </c>
      <c r="I154" s="20" t="n">
        <f aca="false">F154</f>
        <v>4666</v>
      </c>
      <c r="J154" s="22" t="n">
        <f aca="false">IFERROR(G154/F154,0)</f>
        <v>0.31</v>
      </c>
      <c r="K154" s="23" t="n">
        <f aca="false">MONTH(B154)</f>
        <v>4</v>
      </c>
    </row>
    <row r="155" customFormat="false" ht="15" hidden="false" customHeight="true" outlineLevel="0" collapsed="false">
      <c r="A155" s="18" t="s">
        <v>209</v>
      </c>
      <c r="B155" s="19" t="n">
        <v>45627</v>
      </c>
      <c r="C155" s="18" t="s">
        <v>39</v>
      </c>
      <c r="D155" s="18" t="s">
        <v>106</v>
      </c>
      <c r="E155" s="18" t="s">
        <v>25</v>
      </c>
      <c r="F155" s="20" t="n">
        <v>14844</v>
      </c>
      <c r="G155" s="20" t="n">
        <v>3295.37</v>
      </c>
      <c r="H155" s="18" t="n">
        <v>6</v>
      </c>
      <c r="I155" s="20" t="n">
        <f aca="false">F155</f>
        <v>14844</v>
      </c>
      <c r="J155" s="22" t="n">
        <f aca="false">IFERROR(G155/F155,0)</f>
        <v>0.222000134734573</v>
      </c>
      <c r="K155" s="23" t="n">
        <f aca="false">MONTH(B155)</f>
        <v>12</v>
      </c>
    </row>
    <row r="156" customFormat="false" ht="15" hidden="false" customHeight="true" outlineLevel="0" collapsed="false">
      <c r="A156" s="18" t="s">
        <v>210</v>
      </c>
      <c r="B156" s="19" t="n">
        <v>45649</v>
      </c>
      <c r="C156" s="18" t="s">
        <v>23</v>
      </c>
      <c r="D156" s="18" t="s">
        <v>49</v>
      </c>
      <c r="E156" s="18" t="s">
        <v>50</v>
      </c>
      <c r="F156" s="20" t="n">
        <v>324</v>
      </c>
      <c r="G156" s="20" t="n">
        <v>115.99</v>
      </c>
      <c r="H156" s="18" t="n">
        <v>4</v>
      </c>
      <c r="I156" s="20" t="n">
        <f aca="false">F156</f>
        <v>324</v>
      </c>
      <c r="J156" s="22" t="n">
        <f aca="false">IFERROR(G156/F156,0)</f>
        <v>0.357993827160494</v>
      </c>
      <c r="K156" s="23" t="n">
        <f aca="false">MONTH(B156)</f>
        <v>12</v>
      </c>
    </row>
    <row r="157" customFormat="false" ht="15" hidden="false" customHeight="true" outlineLevel="0" collapsed="false">
      <c r="A157" s="18" t="s">
        <v>211</v>
      </c>
      <c r="B157" s="19" t="n">
        <v>45471</v>
      </c>
      <c r="C157" s="18" t="s">
        <v>19</v>
      </c>
      <c r="D157" s="18" t="s">
        <v>24</v>
      </c>
      <c r="E157" s="18" t="s">
        <v>25</v>
      </c>
      <c r="F157" s="20" t="n">
        <v>4224</v>
      </c>
      <c r="G157" s="20" t="n">
        <v>654.72</v>
      </c>
      <c r="H157" s="18" t="n">
        <v>4</v>
      </c>
      <c r="I157" s="20" t="n">
        <f aca="false">F157</f>
        <v>4224</v>
      </c>
      <c r="J157" s="22" t="n">
        <f aca="false">IFERROR(G157/F157,0)</f>
        <v>0.155</v>
      </c>
      <c r="K157" s="23" t="n">
        <f aca="false">MONTH(B157)</f>
        <v>6</v>
      </c>
    </row>
    <row r="158" customFormat="false" ht="15" hidden="false" customHeight="true" outlineLevel="0" collapsed="false">
      <c r="A158" s="18" t="s">
        <v>212</v>
      </c>
      <c r="B158" s="19" t="n">
        <v>45604</v>
      </c>
      <c r="C158" s="18" t="s">
        <v>39</v>
      </c>
      <c r="D158" s="18" t="s">
        <v>75</v>
      </c>
      <c r="E158" s="18" t="s">
        <v>29</v>
      </c>
      <c r="F158" s="20" t="n">
        <v>5402</v>
      </c>
      <c r="G158" s="20" t="n">
        <v>1031.78</v>
      </c>
      <c r="H158" s="18" t="n">
        <v>2</v>
      </c>
      <c r="I158" s="20" t="n">
        <f aca="false">F158</f>
        <v>5402</v>
      </c>
      <c r="J158" s="22" t="n">
        <f aca="false">IFERROR(G158/F158,0)</f>
        <v>0.190999629766753</v>
      </c>
      <c r="K158" s="23" t="n">
        <f aca="false">MONTH(B158)</f>
        <v>11</v>
      </c>
    </row>
    <row r="159" customFormat="false" ht="15" hidden="false" customHeight="true" outlineLevel="0" collapsed="false">
      <c r="A159" s="18" t="s">
        <v>213</v>
      </c>
      <c r="B159" s="19" t="n">
        <v>45377</v>
      </c>
      <c r="C159" s="18" t="s">
        <v>41</v>
      </c>
      <c r="D159" s="18" t="s">
        <v>93</v>
      </c>
      <c r="E159" s="18" t="s">
        <v>32</v>
      </c>
      <c r="F159" s="20" t="n">
        <v>4111</v>
      </c>
      <c r="G159" s="20" t="n">
        <v>369.99</v>
      </c>
      <c r="H159" s="18" t="n">
        <v>1</v>
      </c>
      <c r="I159" s="20" t="n">
        <f aca="false">F159</f>
        <v>4111</v>
      </c>
      <c r="J159" s="22" t="n">
        <f aca="false">IFERROR(G159/F159,0)</f>
        <v>0.09</v>
      </c>
      <c r="K159" s="23" t="n">
        <f aca="false">MONTH(B159)</f>
        <v>3</v>
      </c>
    </row>
    <row r="160" customFormat="false" ht="15" hidden="false" customHeight="true" outlineLevel="0" collapsed="false">
      <c r="A160" s="18" t="s">
        <v>214</v>
      </c>
      <c r="B160" s="19" t="n">
        <v>45359</v>
      </c>
      <c r="C160" s="18" t="s">
        <v>41</v>
      </c>
      <c r="D160" s="18" t="s">
        <v>86</v>
      </c>
      <c r="E160" s="18" t="s">
        <v>21</v>
      </c>
      <c r="F160" s="20" t="n">
        <v>253380</v>
      </c>
      <c r="G160" s="20" t="n">
        <v>36233.34</v>
      </c>
      <c r="H160" s="18" t="n">
        <v>6</v>
      </c>
      <c r="I160" s="20" t="n">
        <f aca="false">F160</f>
        <v>253380</v>
      </c>
      <c r="J160" s="22" t="n">
        <f aca="false">IFERROR(G160/F160,0)</f>
        <v>0.143</v>
      </c>
      <c r="K160" s="23" t="n">
        <f aca="false">MONTH(B160)</f>
        <v>3</v>
      </c>
    </row>
    <row r="161" customFormat="false" ht="15" hidden="false" customHeight="true" outlineLevel="0" collapsed="false">
      <c r="A161" s="18" t="s">
        <v>215</v>
      </c>
      <c r="B161" s="19" t="n">
        <v>45485</v>
      </c>
      <c r="C161" s="18" t="s">
        <v>23</v>
      </c>
      <c r="D161" s="18" t="s">
        <v>120</v>
      </c>
      <c r="E161" s="18" t="s">
        <v>29</v>
      </c>
      <c r="F161" s="20" t="n">
        <v>7192</v>
      </c>
      <c r="G161" s="20" t="n">
        <v>855.85</v>
      </c>
      <c r="H161" s="18" t="n">
        <v>1</v>
      </c>
      <c r="I161" s="20" t="n">
        <f aca="false">F161</f>
        <v>7192</v>
      </c>
      <c r="J161" s="22" t="n">
        <f aca="false">IFERROR(G161/F161,0)</f>
        <v>0.119000278086763</v>
      </c>
      <c r="K161" s="23" t="n">
        <f aca="false">MONTH(B161)</f>
        <v>7</v>
      </c>
    </row>
    <row r="162" customFormat="false" ht="15" hidden="false" customHeight="true" outlineLevel="0" collapsed="false">
      <c r="A162" s="18" t="s">
        <v>216</v>
      </c>
      <c r="B162" s="19" t="n">
        <v>45493</v>
      </c>
      <c r="C162" s="18" t="s">
        <v>41</v>
      </c>
      <c r="D162" s="18" t="s">
        <v>46</v>
      </c>
      <c r="E162" s="18" t="s">
        <v>29</v>
      </c>
      <c r="F162" s="20" t="n">
        <v>45200</v>
      </c>
      <c r="G162" s="20" t="n">
        <v>6463.6</v>
      </c>
      <c r="H162" s="18" t="n">
        <v>10</v>
      </c>
      <c r="I162" s="20" t="n">
        <f aca="false">F162</f>
        <v>45200</v>
      </c>
      <c r="J162" s="22" t="n">
        <f aca="false">IFERROR(G162/F162,0)</f>
        <v>0.143</v>
      </c>
      <c r="K162" s="23" t="n">
        <f aca="false">MONTH(B162)</f>
        <v>7</v>
      </c>
    </row>
    <row r="163" customFormat="false" ht="15" hidden="false" customHeight="true" outlineLevel="0" collapsed="false">
      <c r="A163" s="18" t="s">
        <v>217</v>
      </c>
      <c r="B163" s="19" t="n">
        <v>45424</v>
      </c>
      <c r="C163" s="18" t="s">
        <v>39</v>
      </c>
      <c r="D163" s="18" t="s">
        <v>58</v>
      </c>
      <c r="E163" s="18" t="s">
        <v>50</v>
      </c>
      <c r="F163" s="20" t="n">
        <v>375</v>
      </c>
      <c r="G163" s="20" t="n">
        <v>133.5</v>
      </c>
      <c r="H163" s="18" t="n">
        <v>3</v>
      </c>
      <c r="I163" s="20" t="n">
        <f aca="false">F163</f>
        <v>375</v>
      </c>
      <c r="J163" s="22" t="n">
        <f aca="false">IFERROR(G163/F163,0)</f>
        <v>0.356</v>
      </c>
      <c r="K163" s="23" t="n">
        <f aca="false">MONTH(B163)</f>
        <v>5</v>
      </c>
    </row>
    <row r="164" customFormat="false" ht="15" hidden="false" customHeight="true" outlineLevel="0" collapsed="false">
      <c r="A164" s="18" t="s">
        <v>218</v>
      </c>
      <c r="B164" s="19" t="n">
        <v>45295</v>
      </c>
      <c r="C164" s="18" t="s">
        <v>39</v>
      </c>
      <c r="D164" s="18" t="s">
        <v>106</v>
      </c>
      <c r="E164" s="18" t="s">
        <v>25</v>
      </c>
      <c r="F164" s="20" t="n">
        <v>15351</v>
      </c>
      <c r="G164" s="20" t="n">
        <v>3162.31</v>
      </c>
      <c r="H164" s="18" t="n">
        <v>7</v>
      </c>
      <c r="I164" s="20" t="n">
        <f aca="false">F164</f>
        <v>15351</v>
      </c>
      <c r="J164" s="22" t="n">
        <f aca="false">IFERROR(G164/F164,0)</f>
        <v>0.206000260569344</v>
      </c>
      <c r="K164" s="23" t="n">
        <f aca="false">MONTH(B164)</f>
        <v>1</v>
      </c>
    </row>
    <row r="165" customFormat="false" ht="15" hidden="false" customHeight="true" outlineLevel="0" collapsed="false">
      <c r="A165" s="18" t="s">
        <v>219</v>
      </c>
      <c r="B165" s="19" t="n">
        <v>45405</v>
      </c>
      <c r="C165" s="18" t="s">
        <v>39</v>
      </c>
      <c r="D165" s="18" t="s">
        <v>93</v>
      </c>
      <c r="E165" s="18" t="s">
        <v>32</v>
      </c>
      <c r="F165" s="20" t="n">
        <v>32072</v>
      </c>
      <c r="G165" s="20" t="n">
        <v>4009</v>
      </c>
      <c r="H165" s="18" t="n">
        <v>8</v>
      </c>
      <c r="I165" s="20" t="n">
        <f aca="false">F165</f>
        <v>32072</v>
      </c>
      <c r="J165" s="22" t="n">
        <f aca="false">IFERROR(G165/F165,0)</f>
        <v>0.125</v>
      </c>
      <c r="K165" s="23" t="n">
        <f aca="false">MONTH(B165)</f>
        <v>4</v>
      </c>
    </row>
    <row r="166" customFormat="false" ht="15" hidden="false" customHeight="true" outlineLevel="0" collapsed="false">
      <c r="A166" s="18" t="s">
        <v>220</v>
      </c>
      <c r="B166" s="19" t="n">
        <v>45494</v>
      </c>
      <c r="C166" s="18" t="s">
        <v>41</v>
      </c>
      <c r="D166" s="18" t="s">
        <v>83</v>
      </c>
      <c r="E166" s="18" t="s">
        <v>21</v>
      </c>
      <c r="F166" s="20" t="n">
        <v>40716</v>
      </c>
      <c r="G166" s="20" t="n">
        <v>7288.16</v>
      </c>
      <c r="H166" s="18" t="n">
        <v>9</v>
      </c>
      <c r="I166" s="20" t="n">
        <f aca="false">F166</f>
        <v>40716</v>
      </c>
      <c r="J166" s="22" t="n">
        <f aca="false">IFERROR(G166/F166,0)</f>
        <v>0.178999901758522</v>
      </c>
      <c r="K166" s="23" t="n">
        <f aca="false">MONTH(B166)</f>
        <v>7</v>
      </c>
    </row>
    <row r="167" customFormat="false" ht="15" hidden="false" customHeight="true" outlineLevel="0" collapsed="false">
      <c r="A167" s="18" t="s">
        <v>221</v>
      </c>
      <c r="B167" s="19" t="n">
        <v>45581</v>
      </c>
      <c r="C167" s="18" t="s">
        <v>27</v>
      </c>
      <c r="D167" s="18" t="s">
        <v>55</v>
      </c>
      <c r="E167" s="18" t="s">
        <v>32</v>
      </c>
      <c r="F167" s="20" t="n">
        <v>42027</v>
      </c>
      <c r="G167" s="20" t="n">
        <v>3740.4</v>
      </c>
      <c r="H167" s="18" t="n">
        <v>3</v>
      </c>
      <c r="I167" s="20" t="n">
        <f aca="false">F167</f>
        <v>42027</v>
      </c>
      <c r="J167" s="22" t="n">
        <f aca="false">IFERROR(G167/F167,0)</f>
        <v>0.0889999286173174</v>
      </c>
      <c r="K167" s="23" t="n">
        <f aca="false">MONTH(B167)</f>
        <v>10</v>
      </c>
    </row>
    <row r="168" customFormat="false" ht="15" hidden="false" customHeight="true" outlineLevel="0" collapsed="false">
      <c r="A168" s="18" t="s">
        <v>222</v>
      </c>
      <c r="B168" s="19" t="n">
        <v>45543</v>
      </c>
      <c r="C168" s="18" t="s">
        <v>41</v>
      </c>
      <c r="D168" s="18" t="s">
        <v>31</v>
      </c>
      <c r="E168" s="18" t="s">
        <v>32</v>
      </c>
      <c r="F168" s="20" t="n">
        <v>536340</v>
      </c>
      <c r="G168" s="20" t="n">
        <v>68115.18</v>
      </c>
      <c r="H168" s="18" t="n">
        <v>10</v>
      </c>
      <c r="I168" s="20" t="n">
        <f aca="false">F168</f>
        <v>536340</v>
      </c>
      <c r="J168" s="22" t="n">
        <f aca="false">IFERROR(G168/F168,0)</f>
        <v>0.127</v>
      </c>
      <c r="K168" s="23" t="n">
        <f aca="false">MONTH(B168)</f>
        <v>9</v>
      </c>
    </row>
    <row r="169" customFormat="false" ht="15" hidden="false" customHeight="true" outlineLevel="0" collapsed="false">
      <c r="A169" s="18" t="s">
        <v>223</v>
      </c>
      <c r="B169" s="19" t="n">
        <v>45607</v>
      </c>
      <c r="C169" s="18" t="s">
        <v>27</v>
      </c>
      <c r="D169" s="18" t="s">
        <v>34</v>
      </c>
      <c r="E169" s="18" t="s">
        <v>25</v>
      </c>
      <c r="F169" s="20" t="n">
        <v>2656</v>
      </c>
      <c r="G169" s="20" t="n">
        <v>401.06</v>
      </c>
      <c r="H169" s="18" t="n">
        <v>8</v>
      </c>
      <c r="I169" s="20" t="n">
        <f aca="false">F169</f>
        <v>2656</v>
      </c>
      <c r="J169" s="22" t="n">
        <f aca="false">IFERROR(G169/F169,0)</f>
        <v>0.151001506024096</v>
      </c>
      <c r="K169" s="23" t="n">
        <f aca="false">MONTH(B169)</f>
        <v>11</v>
      </c>
    </row>
    <row r="170" customFormat="false" ht="15" hidden="false" customHeight="true" outlineLevel="0" collapsed="false">
      <c r="A170" s="18" t="s">
        <v>224</v>
      </c>
      <c r="B170" s="19" t="n">
        <v>45509</v>
      </c>
      <c r="C170" s="18" t="s">
        <v>23</v>
      </c>
      <c r="D170" s="18" t="s">
        <v>70</v>
      </c>
      <c r="E170" s="18" t="s">
        <v>21</v>
      </c>
      <c r="F170" s="20" t="n">
        <v>198186</v>
      </c>
      <c r="G170" s="20" t="n">
        <v>35475.29</v>
      </c>
      <c r="H170" s="18" t="n">
        <v>6</v>
      </c>
      <c r="I170" s="20" t="n">
        <f aca="false">F170</f>
        <v>198186</v>
      </c>
      <c r="J170" s="22" t="n">
        <f aca="false">IFERROR(G170/F170,0)</f>
        <v>0.17899997981694</v>
      </c>
      <c r="K170" s="23" t="n">
        <f aca="false">MONTH(B170)</f>
        <v>8</v>
      </c>
    </row>
    <row r="171" customFormat="false" ht="15" hidden="false" customHeight="true" outlineLevel="0" collapsed="false">
      <c r="A171" s="18" t="s">
        <v>225</v>
      </c>
      <c r="B171" s="19" t="n">
        <v>45361</v>
      </c>
      <c r="C171" s="18" t="s">
        <v>39</v>
      </c>
      <c r="D171" s="18" t="s">
        <v>91</v>
      </c>
      <c r="E171" s="18" t="s">
        <v>25</v>
      </c>
      <c r="F171" s="20" t="n">
        <v>31101</v>
      </c>
      <c r="G171" s="20" t="n">
        <v>8646.08</v>
      </c>
      <c r="H171" s="18" t="n">
        <v>7</v>
      </c>
      <c r="I171" s="20" t="n">
        <f aca="false">F171</f>
        <v>31101</v>
      </c>
      <c r="J171" s="22" t="n">
        <f aca="false">IFERROR(G171/F171,0)</f>
        <v>0.278000064306614</v>
      </c>
      <c r="K171" s="23" t="n">
        <f aca="false">MONTH(B171)</f>
        <v>3</v>
      </c>
    </row>
    <row r="172" customFormat="false" ht="15" hidden="false" customHeight="true" outlineLevel="0" collapsed="false">
      <c r="A172" s="18" t="s">
        <v>226</v>
      </c>
      <c r="B172" s="19" t="n">
        <v>45506</v>
      </c>
      <c r="C172" s="18" t="s">
        <v>23</v>
      </c>
      <c r="D172" s="18" t="s">
        <v>46</v>
      </c>
      <c r="E172" s="18" t="s">
        <v>29</v>
      </c>
      <c r="F172" s="20" t="n">
        <v>78147</v>
      </c>
      <c r="G172" s="20" t="n">
        <v>15082.37</v>
      </c>
      <c r="H172" s="18" t="n">
        <v>9</v>
      </c>
      <c r="I172" s="20" t="n">
        <f aca="false">F172</f>
        <v>78147</v>
      </c>
      <c r="J172" s="22" t="n">
        <f aca="false">IFERROR(G172/F172,0)</f>
        <v>0.192999987203603</v>
      </c>
      <c r="K172" s="23" t="n">
        <f aca="false">MONTH(B172)</f>
        <v>8</v>
      </c>
    </row>
    <row r="173" customFormat="false" ht="15" hidden="false" customHeight="true" outlineLevel="0" collapsed="false">
      <c r="A173" s="18" t="s">
        <v>227</v>
      </c>
      <c r="B173" s="19" t="n">
        <v>45578</v>
      </c>
      <c r="C173" s="18" t="s">
        <v>19</v>
      </c>
      <c r="D173" s="18" t="s">
        <v>86</v>
      </c>
      <c r="E173" s="18" t="s">
        <v>21</v>
      </c>
      <c r="F173" s="20" t="n">
        <v>105166</v>
      </c>
      <c r="G173" s="20" t="n">
        <v>21874.53</v>
      </c>
      <c r="H173" s="18" t="n">
        <v>2</v>
      </c>
      <c r="I173" s="20" t="n">
        <f aca="false">F173</f>
        <v>105166</v>
      </c>
      <c r="J173" s="22" t="n">
        <f aca="false">IFERROR(G173/F173,0)</f>
        <v>0.208000019017553</v>
      </c>
      <c r="K173" s="23" t="n">
        <f aca="false">MONTH(B173)</f>
        <v>10</v>
      </c>
    </row>
    <row r="174" customFormat="false" ht="15" hidden="false" customHeight="true" outlineLevel="0" collapsed="false">
      <c r="A174" s="18" t="s">
        <v>228</v>
      </c>
      <c r="B174" s="19" t="n">
        <v>45647</v>
      </c>
      <c r="C174" s="18" t="s">
        <v>39</v>
      </c>
      <c r="D174" s="18" t="s">
        <v>72</v>
      </c>
      <c r="E174" s="18" t="s">
        <v>29</v>
      </c>
      <c r="F174" s="20" t="n">
        <v>39066</v>
      </c>
      <c r="G174" s="20" t="n">
        <v>5039.51</v>
      </c>
      <c r="H174" s="18" t="n">
        <v>3</v>
      </c>
      <c r="I174" s="20" t="n">
        <f aca="false">F174</f>
        <v>39066</v>
      </c>
      <c r="J174" s="22" t="n">
        <f aca="false">IFERROR(G174/F174,0)</f>
        <v>0.128999897609174</v>
      </c>
      <c r="K174" s="23" t="n">
        <f aca="false">MONTH(B174)</f>
        <v>12</v>
      </c>
    </row>
    <row r="175" customFormat="false" ht="15" hidden="false" customHeight="true" outlineLevel="0" collapsed="false">
      <c r="A175" s="18" t="s">
        <v>229</v>
      </c>
      <c r="B175" s="19" t="n">
        <v>45602</v>
      </c>
      <c r="C175" s="18" t="s">
        <v>19</v>
      </c>
      <c r="D175" s="18" t="s">
        <v>49</v>
      </c>
      <c r="E175" s="18" t="s">
        <v>50</v>
      </c>
      <c r="F175" s="20" t="n">
        <v>720</v>
      </c>
      <c r="G175" s="20" t="n">
        <v>252.72</v>
      </c>
      <c r="H175" s="18" t="n">
        <v>9</v>
      </c>
      <c r="I175" s="20" t="n">
        <f aca="false">F175</f>
        <v>720</v>
      </c>
      <c r="J175" s="22" t="n">
        <f aca="false">IFERROR(G175/F175,0)</f>
        <v>0.351</v>
      </c>
      <c r="K175" s="23" t="n">
        <f aca="false">MONTH(B175)</f>
        <v>11</v>
      </c>
    </row>
    <row r="176" customFormat="false" ht="15" hidden="false" customHeight="true" outlineLevel="0" collapsed="false">
      <c r="A176" s="18" t="s">
        <v>230</v>
      </c>
      <c r="B176" s="19" t="n">
        <v>45292</v>
      </c>
      <c r="C176" s="18" t="s">
        <v>19</v>
      </c>
      <c r="D176" s="18" t="s">
        <v>86</v>
      </c>
      <c r="E176" s="18" t="s">
        <v>21</v>
      </c>
      <c r="F176" s="20" t="n">
        <v>172692</v>
      </c>
      <c r="G176" s="20" t="n">
        <v>38337.62</v>
      </c>
      <c r="H176" s="18" t="n">
        <v>4</v>
      </c>
      <c r="I176" s="20" t="n">
        <f aca="false">F176</f>
        <v>172692</v>
      </c>
      <c r="J176" s="22" t="n">
        <f aca="false">IFERROR(G176/F176,0)</f>
        <v>0.221999976837375</v>
      </c>
      <c r="K176" s="23" t="n">
        <f aca="false">MONTH(B176)</f>
        <v>1</v>
      </c>
    </row>
    <row r="177" customFormat="false" ht="15" hidden="false" customHeight="true" outlineLevel="0" collapsed="false">
      <c r="A177" s="18" t="s">
        <v>231</v>
      </c>
      <c r="B177" s="19" t="n">
        <v>45461</v>
      </c>
      <c r="C177" s="18" t="s">
        <v>39</v>
      </c>
      <c r="D177" s="18" t="s">
        <v>20</v>
      </c>
      <c r="E177" s="18" t="s">
        <v>21</v>
      </c>
      <c r="F177" s="20" t="n">
        <v>100954</v>
      </c>
      <c r="G177" s="20" t="n">
        <v>19383.17</v>
      </c>
      <c r="H177" s="18" t="n">
        <v>7</v>
      </c>
      <c r="I177" s="20" t="n">
        <f aca="false">F177</f>
        <v>100954</v>
      </c>
      <c r="J177" s="22" t="n">
        <f aca="false">IFERROR(G177/F177,0)</f>
        <v>0.192000019811003</v>
      </c>
      <c r="K177" s="23" t="n">
        <f aca="false">MONTH(B177)</f>
        <v>6</v>
      </c>
    </row>
    <row r="178" customFormat="false" ht="15" hidden="false" customHeight="true" outlineLevel="0" collapsed="false">
      <c r="A178" s="18" t="s">
        <v>232</v>
      </c>
      <c r="B178" s="19" t="n">
        <v>45630</v>
      </c>
      <c r="C178" s="18" t="s">
        <v>19</v>
      </c>
      <c r="D178" s="18" t="s">
        <v>55</v>
      </c>
      <c r="E178" s="18" t="s">
        <v>32</v>
      </c>
      <c r="F178" s="20" t="n">
        <v>309258</v>
      </c>
      <c r="G178" s="20" t="n">
        <v>25049.9</v>
      </c>
      <c r="H178" s="18" t="n">
        <v>9</v>
      </c>
      <c r="I178" s="20" t="n">
        <f aca="false">F178</f>
        <v>309258</v>
      </c>
      <c r="J178" s="22" t="n">
        <f aca="false">IFERROR(G178/F178,0)</f>
        <v>0.0810000064670922</v>
      </c>
      <c r="K178" s="23" t="n">
        <f aca="false">MONTH(B178)</f>
        <v>12</v>
      </c>
    </row>
    <row r="179" customFormat="false" ht="15" hidden="false" customHeight="true" outlineLevel="0" collapsed="false">
      <c r="A179" s="18" t="s">
        <v>233</v>
      </c>
      <c r="B179" s="19" t="n">
        <v>45401</v>
      </c>
      <c r="C179" s="18" t="s">
        <v>39</v>
      </c>
      <c r="D179" s="18" t="s">
        <v>49</v>
      </c>
      <c r="E179" s="18" t="s">
        <v>50</v>
      </c>
      <c r="F179" s="20" t="n">
        <v>760</v>
      </c>
      <c r="G179" s="20" t="n">
        <v>282.72</v>
      </c>
      <c r="H179" s="18" t="n">
        <v>10</v>
      </c>
      <c r="I179" s="20" t="n">
        <f aca="false">F179</f>
        <v>760</v>
      </c>
      <c r="J179" s="22" t="n">
        <f aca="false">IFERROR(G179/F179,0)</f>
        <v>0.372</v>
      </c>
      <c r="K179" s="23" t="n">
        <f aca="false">MONTH(B179)</f>
        <v>4</v>
      </c>
    </row>
    <row r="180" customFormat="false" ht="15" hidden="false" customHeight="true" outlineLevel="0" collapsed="false">
      <c r="A180" s="18" t="s">
        <v>234</v>
      </c>
      <c r="B180" s="19" t="n">
        <v>45493</v>
      </c>
      <c r="C180" s="18" t="s">
        <v>23</v>
      </c>
      <c r="D180" s="18" t="s">
        <v>62</v>
      </c>
      <c r="E180" s="18" t="s">
        <v>50</v>
      </c>
      <c r="F180" s="20" t="n">
        <v>380</v>
      </c>
      <c r="G180" s="20" t="n">
        <v>120.46</v>
      </c>
      <c r="H180" s="18" t="n">
        <v>4</v>
      </c>
      <c r="I180" s="20" t="n">
        <f aca="false">F180</f>
        <v>380</v>
      </c>
      <c r="J180" s="22" t="n">
        <f aca="false">IFERROR(G180/F180,0)</f>
        <v>0.317</v>
      </c>
      <c r="K180" s="23" t="n">
        <f aca="false">MONTH(B180)</f>
        <v>7</v>
      </c>
    </row>
    <row r="181" customFormat="false" ht="15" hidden="false" customHeight="true" outlineLevel="0" collapsed="false">
      <c r="A181" s="18" t="s">
        <v>235</v>
      </c>
      <c r="B181" s="19" t="n">
        <v>45447</v>
      </c>
      <c r="C181" s="18" t="s">
        <v>23</v>
      </c>
      <c r="D181" s="18" t="s">
        <v>42</v>
      </c>
      <c r="E181" s="18" t="s">
        <v>21</v>
      </c>
      <c r="F181" s="20" t="n">
        <v>80264</v>
      </c>
      <c r="G181" s="20" t="n">
        <v>15812.01</v>
      </c>
      <c r="H181" s="18" t="n">
        <v>8</v>
      </c>
      <c r="I181" s="20" t="n">
        <f aca="false">F181</f>
        <v>80264</v>
      </c>
      <c r="J181" s="22" t="n">
        <f aca="false">IFERROR(G181/F181,0)</f>
        <v>0.197000024917771</v>
      </c>
      <c r="K181" s="23" t="n">
        <f aca="false">MONTH(B181)</f>
        <v>6</v>
      </c>
    </row>
    <row r="182" customFormat="false" ht="15" hidden="false" customHeight="true" outlineLevel="0" collapsed="false">
      <c r="A182" s="18" t="s">
        <v>236</v>
      </c>
      <c r="B182" s="19" t="n">
        <v>45520</v>
      </c>
      <c r="C182" s="18" t="s">
        <v>23</v>
      </c>
      <c r="D182" s="18" t="s">
        <v>96</v>
      </c>
      <c r="E182" s="18" t="s">
        <v>50</v>
      </c>
      <c r="F182" s="20" t="n">
        <v>402</v>
      </c>
      <c r="G182" s="20" t="n">
        <v>124.62</v>
      </c>
      <c r="H182" s="18" t="n">
        <v>6</v>
      </c>
      <c r="I182" s="20" t="n">
        <f aca="false">F182</f>
        <v>402</v>
      </c>
      <c r="J182" s="22" t="n">
        <f aca="false">IFERROR(G182/F182,0)</f>
        <v>0.31</v>
      </c>
      <c r="K182" s="23" t="n">
        <f aca="false">MONTH(B182)</f>
        <v>8</v>
      </c>
    </row>
    <row r="183" customFormat="false" ht="15" hidden="false" customHeight="true" outlineLevel="0" collapsed="false">
      <c r="A183" s="18" t="s">
        <v>237</v>
      </c>
      <c r="B183" s="19" t="n">
        <v>45555</v>
      </c>
      <c r="C183" s="18" t="s">
        <v>23</v>
      </c>
      <c r="D183" s="18" t="s">
        <v>70</v>
      </c>
      <c r="E183" s="18" t="s">
        <v>21</v>
      </c>
      <c r="F183" s="20" t="n">
        <v>73636</v>
      </c>
      <c r="G183" s="20" t="n">
        <v>17967.18</v>
      </c>
      <c r="H183" s="18" t="n">
        <v>2</v>
      </c>
      <c r="I183" s="20" t="n">
        <f aca="false">F183</f>
        <v>73636</v>
      </c>
      <c r="J183" s="22" t="n">
        <f aca="false">IFERROR(G183/F183,0)</f>
        <v>0.243999945678744</v>
      </c>
      <c r="K183" s="23" t="n">
        <f aca="false">MONTH(B183)</f>
        <v>9</v>
      </c>
    </row>
    <row r="184" customFormat="false" ht="15" hidden="false" customHeight="true" outlineLevel="0" collapsed="false">
      <c r="A184" s="18" t="s">
        <v>238</v>
      </c>
      <c r="B184" s="19" t="n">
        <v>45372</v>
      </c>
      <c r="C184" s="18" t="s">
        <v>39</v>
      </c>
      <c r="D184" s="18" t="s">
        <v>24</v>
      </c>
      <c r="E184" s="18" t="s">
        <v>25</v>
      </c>
      <c r="F184" s="20" t="n">
        <v>9846</v>
      </c>
      <c r="G184" s="20" t="n">
        <v>1919.97</v>
      </c>
      <c r="H184" s="18" t="n">
        <v>6</v>
      </c>
      <c r="I184" s="20" t="n">
        <f aca="false">F184</f>
        <v>9846</v>
      </c>
      <c r="J184" s="22" t="n">
        <f aca="false">IFERROR(G184/F184,0)</f>
        <v>0.195</v>
      </c>
      <c r="K184" s="23" t="n">
        <f aca="false">MONTH(B184)</f>
        <v>3</v>
      </c>
    </row>
    <row r="185" customFormat="false" ht="15" hidden="false" customHeight="true" outlineLevel="0" collapsed="false">
      <c r="A185" s="18" t="s">
        <v>239</v>
      </c>
      <c r="B185" s="19" t="n">
        <v>45449</v>
      </c>
      <c r="C185" s="18" t="s">
        <v>41</v>
      </c>
      <c r="D185" s="18" t="s">
        <v>20</v>
      </c>
      <c r="E185" s="18" t="s">
        <v>21</v>
      </c>
      <c r="F185" s="20" t="n">
        <v>62118</v>
      </c>
      <c r="G185" s="20" t="n">
        <v>10870.65</v>
      </c>
      <c r="H185" s="18" t="n">
        <v>9</v>
      </c>
      <c r="I185" s="20" t="n">
        <f aca="false">F185</f>
        <v>62118</v>
      </c>
      <c r="J185" s="22" t="n">
        <f aca="false">IFERROR(G185/F185,0)</f>
        <v>0.175</v>
      </c>
      <c r="K185" s="23" t="n">
        <f aca="false">MONTH(B185)</f>
        <v>6</v>
      </c>
    </row>
    <row r="186" customFormat="false" ht="15" hidden="false" customHeight="true" outlineLevel="0" collapsed="false">
      <c r="A186" s="18" t="s">
        <v>240</v>
      </c>
      <c r="B186" s="19" t="n">
        <v>45369</v>
      </c>
      <c r="C186" s="18" t="s">
        <v>41</v>
      </c>
      <c r="D186" s="18" t="s">
        <v>49</v>
      </c>
      <c r="E186" s="18" t="s">
        <v>50</v>
      </c>
      <c r="F186" s="20" t="n">
        <v>49</v>
      </c>
      <c r="G186" s="20" t="n">
        <v>15.09</v>
      </c>
      <c r="H186" s="18" t="n">
        <v>1</v>
      </c>
      <c r="I186" s="20" t="n">
        <f aca="false">F186</f>
        <v>49</v>
      </c>
      <c r="J186" s="22" t="n">
        <f aca="false">IFERROR(G186/F186,0)</f>
        <v>0.307959183673469</v>
      </c>
      <c r="K186" s="23" t="n">
        <f aca="false">MONTH(B186)</f>
        <v>3</v>
      </c>
    </row>
    <row r="187" customFormat="false" ht="15" hidden="false" customHeight="true" outlineLevel="0" collapsed="false">
      <c r="A187" s="18" t="s">
        <v>241</v>
      </c>
      <c r="B187" s="19" t="n">
        <v>45435</v>
      </c>
      <c r="C187" s="18" t="s">
        <v>41</v>
      </c>
      <c r="D187" s="18" t="s">
        <v>24</v>
      </c>
      <c r="E187" s="18" t="s">
        <v>25</v>
      </c>
      <c r="F187" s="20" t="n">
        <v>13472</v>
      </c>
      <c r="G187" s="20" t="n">
        <v>2977.31</v>
      </c>
      <c r="H187" s="18" t="n">
        <v>8</v>
      </c>
      <c r="I187" s="20" t="n">
        <f aca="false">F187</f>
        <v>13472</v>
      </c>
      <c r="J187" s="22" t="n">
        <f aca="false">IFERROR(G187/F187,0)</f>
        <v>0.220999851543943</v>
      </c>
      <c r="K187" s="23" t="n">
        <f aca="false">MONTH(B187)</f>
        <v>5</v>
      </c>
    </row>
    <row r="188" customFormat="false" ht="15" hidden="false" customHeight="true" outlineLevel="0" collapsed="false">
      <c r="A188" s="18" t="s">
        <v>242</v>
      </c>
      <c r="B188" s="19" t="n">
        <v>45643</v>
      </c>
      <c r="C188" s="18" t="s">
        <v>19</v>
      </c>
      <c r="D188" s="18" t="s">
        <v>34</v>
      </c>
      <c r="E188" s="18" t="s">
        <v>25</v>
      </c>
      <c r="F188" s="20" t="n">
        <v>1992</v>
      </c>
      <c r="G188" s="20" t="n">
        <v>499.99</v>
      </c>
      <c r="H188" s="18" t="n">
        <v>3</v>
      </c>
      <c r="I188" s="20" t="n">
        <f aca="false">F188</f>
        <v>1992</v>
      </c>
      <c r="J188" s="22" t="n">
        <f aca="false">IFERROR(G188/F188,0)</f>
        <v>0.250998995983936</v>
      </c>
      <c r="K188" s="23" t="n">
        <f aca="false">MONTH(B188)</f>
        <v>12</v>
      </c>
    </row>
    <row r="189" customFormat="false" ht="15" hidden="false" customHeight="true" outlineLevel="0" collapsed="false">
      <c r="A189" s="18" t="s">
        <v>243</v>
      </c>
      <c r="B189" s="19" t="n">
        <v>45404</v>
      </c>
      <c r="C189" s="18" t="s">
        <v>19</v>
      </c>
      <c r="D189" s="18" t="s">
        <v>36</v>
      </c>
      <c r="E189" s="18" t="s">
        <v>25</v>
      </c>
      <c r="F189" s="20" t="n">
        <v>3376</v>
      </c>
      <c r="G189" s="20" t="n">
        <v>1060.06</v>
      </c>
      <c r="H189" s="18" t="n">
        <v>1</v>
      </c>
      <c r="I189" s="20" t="n">
        <f aca="false">F189</f>
        <v>3376</v>
      </c>
      <c r="J189" s="22" t="n">
        <f aca="false">IFERROR(G189/F189,0)</f>
        <v>0.313998815165877</v>
      </c>
      <c r="K189" s="23" t="n">
        <f aca="false">MONTH(B189)</f>
        <v>4</v>
      </c>
    </row>
    <row r="190" customFormat="false" ht="15" hidden="false" customHeight="true" outlineLevel="0" collapsed="false">
      <c r="A190" s="18" t="s">
        <v>244</v>
      </c>
      <c r="B190" s="19" t="n">
        <v>45483</v>
      </c>
      <c r="C190" s="18" t="s">
        <v>27</v>
      </c>
      <c r="D190" s="18" t="s">
        <v>93</v>
      </c>
      <c r="E190" s="18" t="s">
        <v>32</v>
      </c>
      <c r="F190" s="20" t="n">
        <v>40808</v>
      </c>
      <c r="G190" s="20" t="n">
        <v>4937.77</v>
      </c>
      <c r="H190" s="18" t="n">
        <v>4</v>
      </c>
      <c r="I190" s="20" t="n">
        <f aca="false">F190</f>
        <v>40808</v>
      </c>
      <c r="J190" s="22" t="n">
        <f aca="false">IFERROR(G190/F190,0)</f>
        <v>0.121000049009998</v>
      </c>
      <c r="K190" s="23" t="n">
        <f aca="false">MONTH(B190)</f>
        <v>7</v>
      </c>
    </row>
    <row r="191" customFormat="false" ht="15" hidden="false" customHeight="true" outlineLevel="0" collapsed="false">
      <c r="A191" s="18" t="s">
        <v>245</v>
      </c>
      <c r="B191" s="19" t="n">
        <v>45593</v>
      </c>
      <c r="C191" s="18" t="s">
        <v>19</v>
      </c>
      <c r="D191" s="18" t="s">
        <v>31</v>
      </c>
      <c r="E191" s="18" t="s">
        <v>32</v>
      </c>
      <c r="F191" s="20" t="n">
        <v>157173</v>
      </c>
      <c r="G191" s="20" t="n">
        <v>13359.71</v>
      </c>
      <c r="H191" s="18" t="n">
        <v>3</v>
      </c>
      <c r="I191" s="20" t="n">
        <f aca="false">F191</f>
        <v>157173</v>
      </c>
      <c r="J191" s="22" t="n">
        <f aca="false">IFERROR(G191/F191,0)</f>
        <v>0.0850000318120797</v>
      </c>
      <c r="K191" s="23" t="n">
        <f aca="false">MONTH(B191)</f>
        <v>10</v>
      </c>
    </row>
    <row r="192" customFormat="false" ht="15" hidden="false" customHeight="true" outlineLevel="0" collapsed="false">
      <c r="A192" s="18" t="s">
        <v>246</v>
      </c>
      <c r="B192" s="19" t="n">
        <v>45590</v>
      </c>
      <c r="C192" s="18" t="s">
        <v>39</v>
      </c>
      <c r="D192" s="18" t="s">
        <v>58</v>
      </c>
      <c r="E192" s="18" t="s">
        <v>50</v>
      </c>
      <c r="F192" s="20" t="n">
        <v>565</v>
      </c>
      <c r="G192" s="20" t="n">
        <v>192.1</v>
      </c>
      <c r="H192" s="18" t="n">
        <v>5</v>
      </c>
      <c r="I192" s="20" t="n">
        <f aca="false">F192</f>
        <v>565</v>
      </c>
      <c r="J192" s="22" t="n">
        <f aca="false">IFERROR(G192/F192,0)</f>
        <v>0.34</v>
      </c>
      <c r="K192" s="23" t="n">
        <f aca="false">MONTH(B192)</f>
        <v>10</v>
      </c>
    </row>
    <row r="193" customFormat="false" ht="15" hidden="false" customHeight="true" outlineLevel="0" collapsed="false">
      <c r="A193" s="18" t="s">
        <v>247</v>
      </c>
      <c r="B193" s="19" t="n">
        <v>45392</v>
      </c>
      <c r="C193" s="18" t="s">
        <v>27</v>
      </c>
      <c r="D193" s="18" t="s">
        <v>52</v>
      </c>
      <c r="E193" s="18" t="s">
        <v>32</v>
      </c>
      <c r="F193" s="20" t="n">
        <v>9885</v>
      </c>
      <c r="G193" s="20" t="n">
        <v>800.69</v>
      </c>
      <c r="H193" s="18" t="n">
        <v>3</v>
      </c>
      <c r="I193" s="20" t="n">
        <f aca="false">F193</f>
        <v>9885</v>
      </c>
      <c r="J193" s="22" t="n">
        <f aca="false">IFERROR(G193/F193,0)</f>
        <v>0.0810005058168943</v>
      </c>
      <c r="K193" s="23" t="n">
        <f aca="false">MONTH(B193)</f>
        <v>4</v>
      </c>
    </row>
    <row r="194" customFormat="false" ht="15" hidden="false" customHeight="true" outlineLevel="0" collapsed="false">
      <c r="A194" s="18" t="s">
        <v>248</v>
      </c>
      <c r="B194" s="19" t="n">
        <v>45314</v>
      </c>
      <c r="C194" s="18" t="s">
        <v>19</v>
      </c>
      <c r="D194" s="18" t="s">
        <v>62</v>
      </c>
      <c r="E194" s="18" t="s">
        <v>50</v>
      </c>
      <c r="F194" s="20" t="n">
        <v>856</v>
      </c>
      <c r="G194" s="20" t="n">
        <v>209.72</v>
      </c>
      <c r="H194" s="18" t="n">
        <v>8</v>
      </c>
      <c r="I194" s="20" t="n">
        <f aca="false">F194</f>
        <v>856</v>
      </c>
      <c r="J194" s="22" t="n">
        <f aca="false">IFERROR(G194/F194,0)</f>
        <v>0.245</v>
      </c>
      <c r="K194" s="23" t="n">
        <f aca="false">MONTH(B194)</f>
        <v>1</v>
      </c>
    </row>
    <row r="195" customFormat="false" ht="15" hidden="false" customHeight="true" outlineLevel="0" collapsed="false">
      <c r="A195" s="18" t="s">
        <v>249</v>
      </c>
      <c r="B195" s="19" t="n">
        <v>45526</v>
      </c>
      <c r="C195" s="18" t="s">
        <v>41</v>
      </c>
      <c r="D195" s="18" t="s">
        <v>52</v>
      </c>
      <c r="E195" s="18" t="s">
        <v>32</v>
      </c>
      <c r="F195" s="20" t="n">
        <v>45504</v>
      </c>
      <c r="G195" s="20" t="n">
        <v>6097.54</v>
      </c>
      <c r="H195" s="18" t="n">
        <v>8</v>
      </c>
      <c r="I195" s="20" t="n">
        <f aca="false">F195</f>
        <v>45504</v>
      </c>
      <c r="J195" s="22" t="n">
        <f aca="false">IFERROR(G195/F195,0)</f>
        <v>0.13400008790436</v>
      </c>
      <c r="K195" s="23" t="n">
        <f aca="false">MONTH(B195)</f>
        <v>8</v>
      </c>
    </row>
    <row r="196" customFormat="false" ht="15" hidden="false" customHeight="true" outlineLevel="0" collapsed="false">
      <c r="A196" s="18" t="s">
        <v>250</v>
      </c>
      <c r="B196" s="19" t="n">
        <v>45550</v>
      </c>
      <c r="C196" s="18" t="s">
        <v>27</v>
      </c>
      <c r="D196" s="18" t="s">
        <v>72</v>
      </c>
      <c r="E196" s="18" t="s">
        <v>29</v>
      </c>
      <c r="F196" s="20" t="n">
        <v>60856</v>
      </c>
      <c r="G196" s="20" t="n">
        <v>10588.94</v>
      </c>
      <c r="H196" s="18" t="n">
        <v>8</v>
      </c>
      <c r="I196" s="20" t="n">
        <f aca="false">F196</f>
        <v>60856</v>
      </c>
      <c r="J196" s="22" t="n">
        <f aca="false">IFERROR(G196/F196,0)</f>
        <v>0.173999934271066</v>
      </c>
      <c r="K196" s="23" t="n">
        <f aca="false">MONTH(B196)</f>
        <v>9</v>
      </c>
    </row>
    <row r="197" customFormat="false" ht="15" hidden="false" customHeight="true" outlineLevel="0" collapsed="false">
      <c r="A197" s="18" t="s">
        <v>251</v>
      </c>
      <c r="B197" s="19" t="n">
        <v>45606</v>
      </c>
      <c r="C197" s="18" t="s">
        <v>41</v>
      </c>
      <c r="D197" s="18" t="s">
        <v>91</v>
      </c>
      <c r="E197" s="18" t="s">
        <v>25</v>
      </c>
      <c r="F197" s="20" t="n">
        <v>21915</v>
      </c>
      <c r="G197" s="20" t="n">
        <v>5303.43</v>
      </c>
      <c r="H197" s="18" t="n">
        <v>9</v>
      </c>
      <c r="I197" s="20" t="n">
        <f aca="false">F197</f>
        <v>21915</v>
      </c>
      <c r="J197" s="22" t="n">
        <f aca="false">IFERROR(G197/F197,0)</f>
        <v>0.242</v>
      </c>
      <c r="K197" s="23" t="n">
        <f aca="false">MONTH(B197)</f>
        <v>11</v>
      </c>
    </row>
    <row r="198" customFormat="false" ht="15" hidden="false" customHeight="true" outlineLevel="0" collapsed="false">
      <c r="A198" s="18" t="s">
        <v>252</v>
      </c>
      <c r="B198" s="19" t="n">
        <v>45634</v>
      </c>
      <c r="C198" s="18" t="s">
        <v>41</v>
      </c>
      <c r="D198" s="18" t="s">
        <v>44</v>
      </c>
      <c r="E198" s="18" t="s">
        <v>32</v>
      </c>
      <c r="F198" s="20" t="n">
        <v>14433</v>
      </c>
      <c r="G198" s="20" t="n">
        <v>1616.5</v>
      </c>
      <c r="H198" s="18" t="n">
        <v>3</v>
      </c>
      <c r="I198" s="20" t="n">
        <f aca="false">F198</f>
        <v>14433</v>
      </c>
      <c r="J198" s="22" t="n">
        <f aca="false">IFERROR(G198/F198,0)</f>
        <v>0.112000277142659</v>
      </c>
      <c r="K198" s="23" t="n">
        <f aca="false">MONTH(B198)</f>
        <v>12</v>
      </c>
    </row>
    <row r="199" customFormat="false" ht="15" hidden="false" customHeight="true" outlineLevel="0" collapsed="false">
      <c r="A199" s="18" t="s">
        <v>253</v>
      </c>
      <c r="B199" s="19" t="n">
        <v>45345</v>
      </c>
      <c r="C199" s="18" t="s">
        <v>39</v>
      </c>
      <c r="D199" s="18" t="s">
        <v>83</v>
      </c>
      <c r="E199" s="18" t="s">
        <v>21</v>
      </c>
      <c r="F199" s="20" t="n">
        <v>8506</v>
      </c>
      <c r="G199" s="20" t="n">
        <v>1845.8</v>
      </c>
      <c r="H199" s="18" t="n">
        <v>2</v>
      </c>
      <c r="I199" s="20" t="n">
        <f aca="false">F199</f>
        <v>8506</v>
      </c>
      <c r="J199" s="22" t="n">
        <f aca="false">IFERROR(G199/F199,0)</f>
        <v>0.216999764871855</v>
      </c>
      <c r="K199" s="23" t="n">
        <f aca="false">MONTH(B199)</f>
        <v>2</v>
      </c>
    </row>
    <row r="200" customFormat="false" ht="15" hidden="false" customHeight="true" outlineLevel="0" collapsed="false">
      <c r="A200" s="18" t="s">
        <v>254</v>
      </c>
      <c r="B200" s="19" t="n">
        <v>45305</v>
      </c>
      <c r="C200" s="18" t="s">
        <v>39</v>
      </c>
      <c r="D200" s="18" t="s">
        <v>96</v>
      </c>
      <c r="E200" s="18" t="s">
        <v>50</v>
      </c>
      <c r="F200" s="20" t="n">
        <v>666</v>
      </c>
      <c r="G200" s="20" t="n">
        <v>255.08</v>
      </c>
      <c r="H200" s="18" t="n">
        <v>9</v>
      </c>
      <c r="I200" s="20" t="n">
        <f aca="false">F200</f>
        <v>666</v>
      </c>
      <c r="J200" s="22" t="n">
        <f aca="false">IFERROR(G200/F200,0)</f>
        <v>0.383003003003003</v>
      </c>
      <c r="K200" s="23" t="n">
        <f aca="false">MONTH(B200)</f>
        <v>1</v>
      </c>
    </row>
    <row r="201" customFormat="false" ht="15" hidden="false" customHeight="true" outlineLevel="0" collapsed="false">
      <c r="A201" s="18" t="s">
        <v>255</v>
      </c>
      <c r="B201" s="19" t="n">
        <v>45625</v>
      </c>
      <c r="C201" s="18" t="s">
        <v>41</v>
      </c>
      <c r="D201" s="18" t="s">
        <v>36</v>
      </c>
      <c r="E201" s="18" t="s">
        <v>25</v>
      </c>
      <c r="F201" s="20" t="n">
        <v>3525</v>
      </c>
      <c r="G201" s="20" t="n">
        <v>669.75</v>
      </c>
      <c r="H201" s="18" t="n">
        <v>1</v>
      </c>
      <c r="I201" s="20" t="n">
        <f aca="false">F201</f>
        <v>3525</v>
      </c>
      <c r="J201" s="22" t="n">
        <f aca="false">IFERROR(G201/F201,0)</f>
        <v>0.19</v>
      </c>
      <c r="K201" s="23" t="n">
        <f aca="false">MONTH(B201)</f>
        <v>11</v>
      </c>
    </row>
    <row r="202" customFormat="false" ht="15" hidden="false" customHeight="true" outlineLevel="0" collapsed="false">
      <c r="A202" s="18" t="s">
        <v>256</v>
      </c>
      <c r="B202" s="19" t="n">
        <v>45584</v>
      </c>
      <c r="C202" s="18" t="s">
        <v>23</v>
      </c>
      <c r="D202" s="18" t="s">
        <v>96</v>
      </c>
      <c r="E202" s="18" t="s">
        <v>50</v>
      </c>
      <c r="F202" s="20" t="n">
        <v>500</v>
      </c>
      <c r="G202" s="20" t="n">
        <v>147.5</v>
      </c>
      <c r="H202" s="18" t="n">
        <v>4</v>
      </c>
      <c r="I202" s="20" t="n">
        <f aca="false">F202</f>
        <v>500</v>
      </c>
      <c r="J202" s="22" t="n">
        <f aca="false">IFERROR(G202/F202,0)</f>
        <v>0.295</v>
      </c>
      <c r="K202" s="23" t="n">
        <f aca="false">MONTH(B202)</f>
        <v>10</v>
      </c>
    </row>
    <row r="203" customFormat="false" ht="15" hidden="false" customHeight="true" outlineLevel="0" collapsed="false">
      <c r="A203" s="18" t="s">
        <v>257</v>
      </c>
      <c r="B203" s="19" t="n">
        <v>45500</v>
      </c>
      <c r="C203" s="18" t="s">
        <v>27</v>
      </c>
      <c r="D203" s="18" t="s">
        <v>36</v>
      </c>
      <c r="E203" s="18" t="s">
        <v>25</v>
      </c>
      <c r="F203" s="20" t="n">
        <v>41067</v>
      </c>
      <c r="G203" s="20" t="n">
        <v>12895.04</v>
      </c>
      <c r="H203" s="18" t="n">
        <v>9</v>
      </c>
      <c r="I203" s="20" t="n">
        <f aca="false">F203</f>
        <v>41067</v>
      </c>
      <c r="J203" s="22" t="n">
        <f aca="false">IFERROR(G203/F203,0)</f>
        <v>0.314000048700903</v>
      </c>
      <c r="K203" s="23" t="n">
        <f aca="false">MONTH(B203)</f>
        <v>7</v>
      </c>
    </row>
    <row r="204" customFormat="false" ht="15" hidden="false" customHeight="true" outlineLevel="0" collapsed="false">
      <c r="A204" s="18" t="s">
        <v>258</v>
      </c>
      <c r="B204" s="19" t="n">
        <v>45404</v>
      </c>
      <c r="C204" s="18" t="s">
        <v>41</v>
      </c>
      <c r="D204" s="18" t="s">
        <v>28</v>
      </c>
      <c r="E204" s="18" t="s">
        <v>29</v>
      </c>
      <c r="F204" s="20" t="n">
        <v>16040</v>
      </c>
      <c r="G204" s="20" t="n">
        <v>2133.32</v>
      </c>
      <c r="H204" s="18" t="n">
        <v>8</v>
      </c>
      <c r="I204" s="20" t="n">
        <f aca="false">F204</f>
        <v>16040</v>
      </c>
      <c r="J204" s="22" t="n">
        <f aca="false">IFERROR(G204/F204,0)</f>
        <v>0.133</v>
      </c>
      <c r="K204" s="23" t="n">
        <f aca="false">MONTH(B204)</f>
        <v>4</v>
      </c>
    </row>
    <row r="205" customFormat="false" ht="15" hidden="false" customHeight="true" outlineLevel="0" collapsed="false">
      <c r="A205" s="18" t="s">
        <v>259</v>
      </c>
      <c r="B205" s="19" t="n">
        <v>45322</v>
      </c>
      <c r="C205" s="18" t="s">
        <v>39</v>
      </c>
      <c r="D205" s="18" t="s">
        <v>106</v>
      </c>
      <c r="E205" s="18" t="s">
        <v>25</v>
      </c>
      <c r="F205" s="20" t="n">
        <v>5905</v>
      </c>
      <c r="G205" s="20" t="n">
        <v>938.89</v>
      </c>
      <c r="H205" s="18" t="n">
        <v>5</v>
      </c>
      <c r="I205" s="20" t="n">
        <f aca="false">F205</f>
        <v>5905</v>
      </c>
      <c r="J205" s="22" t="n">
        <f aca="false">IFERROR(G205/F205,0)</f>
        <v>0.158999153259949</v>
      </c>
      <c r="K205" s="23" t="n">
        <f aca="false">MONTH(B205)</f>
        <v>1</v>
      </c>
    </row>
    <row r="206" customFormat="false" ht="15" hidden="false" customHeight="true" outlineLevel="0" collapsed="false">
      <c r="A206" s="18" t="s">
        <v>260</v>
      </c>
      <c r="B206" s="19" t="n">
        <v>45482</v>
      </c>
      <c r="C206" s="18" t="s">
        <v>39</v>
      </c>
      <c r="D206" s="18" t="s">
        <v>72</v>
      </c>
      <c r="E206" s="18" t="s">
        <v>29</v>
      </c>
      <c r="F206" s="20" t="n">
        <v>14608</v>
      </c>
      <c r="G206" s="20" t="n">
        <v>2863.17</v>
      </c>
      <c r="H206" s="18" t="n">
        <v>1</v>
      </c>
      <c r="I206" s="20" t="n">
        <f aca="false">F206</f>
        <v>14608</v>
      </c>
      <c r="J206" s="22" t="n">
        <f aca="false">IFERROR(G206/F206,0)</f>
        <v>0.196000136911282</v>
      </c>
      <c r="K206" s="23" t="n">
        <f aca="false">MONTH(B206)</f>
        <v>7</v>
      </c>
    </row>
    <row r="207" customFormat="false" ht="15" hidden="false" customHeight="true" outlineLevel="0" collapsed="false">
      <c r="A207" s="18" t="s">
        <v>261</v>
      </c>
      <c r="B207" s="19" t="n">
        <v>45462</v>
      </c>
      <c r="C207" s="18" t="s">
        <v>39</v>
      </c>
      <c r="D207" s="18" t="s">
        <v>93</v>
      </c>
      <c r="E207" s="18" t="s">
        <v>32</v>
      </c>
      <c r="F207" s="20" t="n">
        <v>48620</v>
      </c>
      <c r="G207" s="20" t="n">
        <v>4229.94</v>
      </c>
      <c r="H207" s="18" t="n">
        <v>10</v>
      </c>
      <c r="I207" s="20" t="n">
        <f aca="false">F207</f>
        <v>48620</v>
      </c>
      <c r="J207" s="22" t="n">
        <f aca="false">IFERROR(G207/F207,0)</f>
        <v>0.087</v>
      </c>
      <c r="K207" s="23" t="n">
        <f aca="false">MONTH(B207)</f>
        <v>6</v>
      </c>
    </row>
    <row r="208" customFormat="false" ht="15" hidden="false" customHeight="true" outlineLevel="0" collapsed="false">
      <c r="A208" s="18" t="s">
        <v>262</v>
      </c>
      <c r="B208" s="19" t="n">
        <v>45476</v>
      </c>
      <c r="C208" s="18" t="s">
        <v>41</v>
      </c>
      <c r="D208" s="18" t="s">
        <v>49</v>
      </c>
      <c r="E208" s="18" t="s">
        <v>50</v>
      </c>
      <c r="F208" s="20" t="n">
        <v>114</v>
      </c>
      <c r="G208" s="20" t="n">
        <v>41.61</v>
      </c>
      <c r="H208" s="18" t="n">
        <v>2</v>
      </c>
      <c r="I208" s="20" t="n">
        <f aca="false">F208</f>
        <v>114</v>
      </c>
      <c r="J208" s="22" t="n">
        <f aca="false">IFERROR(G208/F208,0)</f>
        <v>0.365</v>
      </c>
      <c r="K208" s="23" t="n">
        <f aca="false">MONTH(B208)</f>
        <v>7</v>
      </c>
    </row>
    <row r="209" customFormat="false" ht="15" hidden="false" customHeight="true" outlineLevel="0" collapsed="false">
      <c r="A209" s="18" t="s">
        <v>263</v>
      </c>
      <c r="B209" s="19" t="n">
        <v>45387</v>
      </c>
      <c r="C209" s="18" t="s">
        <v>19</v>
      </c>
      <c r="D209" s="18" t="s">
        <v>62</v>
      </c>
      <c r="E209" s="18" t="s">
        <v>50</v>
      </c>
      <c r="F209" s="20" t="n">
        <v>530</v>
      </c>
      <c r="G209" s="20" t="n">
        <v>197.69</v>
      </c>
      <c r="H209" s="18" t="n">
        <v>10</v>
      </c>
      <c r="I209" s="20" t="n">
        <f aca="false">F209</f>
        <v>530</v>
      </c>
      <c r="J209" s="22" t="n">
        <f aca="false">IFERROR(G209/F209,0)</f>
        <v>0.373</v>
      </c>
      <c r="K209" s="23" t="n">
        <f aca="false">MONTH(B209)</f>
        <v>4</v>
      </c>
    </row>
    <row r="210" customFormat="false" ht="15" hidden="false" customHeight="true" outlineLevel="0" collapsed="false">
      <c r="A210" s="18" t="s">
        <v>264</v>
      </c>
      <c r="B210" s="19" t="n">
        <v>45624</v>
      </c>
      <c r="C210" s="18" t="s">
        <v>19</v>
      </c>
      <c r="D210" s="18" t="s">
        <v>52</v>
      </c>
      <c r="E210" s="18" t="s">
        <v>32</v>
      </c>
      <c r="F210" s="20" t="n">
        <v>53910</v>
      </c>
      <c r="G210" s="20" t="n">
        <v>8787.33</v>
      </c>
      <c r="H210" s="18" t="n">
        <v>9</v>
      </c>
      <c r="I210" s="20" t="n">
        <f aca="false">F210</f>
        <v>53910</v>
      </c>
      <c r="J210" s="22" t="n">
        <f aca="false">IFERROR(G210/F210,0)</f>
        <v>0.163</v>
      </c>
      <c r="K210" s="23" t="n">
        <f aca="false">MONTH(B210)</f>
        <v>11</v>
      </c>
    </row>
    <row r="211" customFormat="false" ht="15" hidden="false" customHeight="true" outlineLevel="0" collapsed="false">
      <c r="A211" s="18" t="s">
        <v>265</v>
      </c>
      <c r="B211" s="19" t="n">
        <v>45642</v>
      </c>
      <c r="C211" s="18" t="s">
        <v>19</v>
      </c>
      <c r="D211" s="18" t="s">
        <v>72</v>
      </c>
      <c r="E211" s="18" t="s">
        <v>29</v>
      </c>
      <c r="F211" s="20" t="n">
        <v>5212</v>
      </c>
      <c r="G211" s="20" t="n">
        <v>906.89</v>
      </c>
      <c r="H211" s="18" t="n">
        <v>1</v>
      </c>
      <c r="I211" s="20" t="n">
        <f aca="false">F211</f>
        <v>5212</v>
      </c>
      <c r="J211" s="22" t="n">
        <f aca="false">IFERROR(G211/F211,0)</f>
        <v>0.174000383729854</v>
      </c>
      <c r="K211" s="23" t="n">
        <f aca="false">MONTH(B211)</f>
        <v>12</v>
      </c>
    </row>
    <row r="212" customFormat="false" ht="15" hidden="false" customHeight="true" outlineLevel="0" collapsed="false">
      <c r="A212" s="18" t="s">
        <v>266</v>
      </c>
      <c r="B212" s="19" t="n">
        <v>45381</v>
      </c>
      <c r="C212" s="18" t="s">
        <v>27</v>
      </c>
      <c r="D212" s="18" t="s">
        <v>64</v>
      </c>
      <c r="E212" s="18" t="s">
        <v>32</v>
      </c>
      <c r="F212" s="20" t="n">
        <v>27362</v>
      </c>
      <c r="G212" s="20" t="n">
        <v>2818.29</v>
      </c>
      <c r="H212" s="18" t="n">
        <v>2</v>
      </c>
      <c r="I212" s="20" t="n">
        <f aca="false">F212</f>
        <v>27362</v>
      </c>
      <c r="J212" s="22" t="n">
        <f aca="false">IFERROR(G212/F212,0)</f>
        <v>0.103000146188144</v>
      </c>
      <c r="K212" s="23" t="n">
        <f aca="false">MONTH(B212)</f>
        <v>3</v>
      </c>
    </row>
    <row r="213" customFormat="false" ht="15" hidden="false" customHeight="true" outlineLevel="0" collapsed="false">
      <c r="A213" s="18" t="s">
        <v>267</v>
      </c>
      <c r="B213" s="19" t="n">
        <v>45411</v>
      </c>
      <c r="C213" s="18" t="s">
        <v>19</v>
      </c>
      <c r="D213" s="18" t="s">
        <v>24</v>
      </c>
      <c r="E213" s="18" t="s">
        <v>25</v>
      </c>
      <c r="F213" s="20" t="n">
        <v>19540</v>
      </c>
      <c r="G213" s="20" t="n">
        <v>6076.94</v>
      </c>
      <c r="H213" s="18" t="n">
        <v>10</v>
      </c>
      <c r="I213" s="20" t="n">
        <f aca="false">F213</f>
        <v>19540</v>
      </c>
      <c r="J213" s="22" t="n">
        <f aca="false">IFERROR(G213/F213,0)</f>
        <v>0.311</v>
      </c>
      <c r="K213" s="23" t="n">
        <f aca="false">MONTH(B213)</f>
        <v>4</v>
      </c>
    </row>
    <row r="214" customFormat="false" ht="15" hidden="false" customHeight="true" outlineLevel="0" collapsed="false">
      <c r="A214" s="18" t="s">
        <v>268</v>
      </c>
      <c r="B214" s="19" t="n">
        <v>45332</v>
      </c>
      <c r="C214" s="18" t="s">
        <v>41</v>
      </c>
      <c r="D214" s="18" t="s">
        <v>83</v>
      </c>
      <c r="E214" s="18" t="s">
        <v>21</v>
      </c>
      <c r="F214" s="20" t="n">
        <v>19796</v>
      </c>
      <c r="G214" s="20" t="n">
        <v>3781.04</v>
      </c>
      <c r="H214" s="18" t="n">
        <v>4</v>
      </c>
      <c r="I214" s="20" t="n">
        <f aca="false">F214</f>
        <v>19796</v>
      </c>
      <c r="J214" s="22" t="n">
        <f aca="false">IFERROR(G214/F214,0)</f>
        <v>0.191000202061022</v>
      </c>
      <c r="K214" s="23" t="n">
        <f aca="false">MONTH(B214)</f>
        <v>2</v>
      </c>
    </row>
    <row r="215" customFormat="false" ht="15" hidden="false" customHeight="true" outlineLevel="0" collapsed="false">
      <c r="A215" s="18" t="s">
        <v>269</v>
      </c>
      <c r="B215" s="19" t="n">
        <v>45562</v>
      </c>
      <c r="C215" s="18" t="s">
        <v>19</v>
      </c>
      <c r="D215" s="18" t="s">
        <v>55</v>
      </c>
      <c r="E215" s="18" t="s">
        <v>32</v>
      </c>
      <c r="F215" s="20" t="n">
        <v>193530</v>
      </c>
      <c r="G215" s="20" t="n">
        <v>16643.58</v>
      </c>
      <c r="H215" s="18" t="n">
        <v>10</v>
      </c>
      <c r="I215" s="20" t="n">
        <f aca="false">F215</f>
        <v>193530</v>
      </c>
      <c r="J215" s="22" t="n">
        <f aca="false">IFERROR(G215/F215,0)</f>
        <v>0.086</v>
      </c>
      <c r="K215" s="23" t="n">
        <f aca="false">MONTH(B215)</f>
        <v>9</v>
      </c>
    </row>
    <row r="216" customFormat="false" ht="15" hidden="false" customHeight="true" outlineLevel="0" collapsed="false">
      <c r="A216" s="18" t="s">
        <v>270</v>
      </c>
      <c r="B216" s="19" t="n">
        <v>45489</v>
      </c>
      <c r="C216" s="18" t="s">
        <v>41</v>
      </c>
      <c r="D216" s="18" t="s">
        <v>58</v>
      </c>
      <c r="E216" s="18" t="s">
        <v>50</v>
      </c>
      <c r="F216" s="20" t="n">
        <v>132</v>
      </c>
      <c r="G216" s="20" t="n">
        <v>34.85</v>
      </c>
      <c r="H216" s="18" t="n">
        <v>4</v>
      </c>
      <c r="I216" s="20" t="n">
        <f aca="false">F216</f>
        <v>132</v>
      </c>
      <c r="J216" s="22" t="n">
        <f aca="false">IFERROR(G216/F216,0)</f>
        <v>0.264015151515152</v>
      </c>
      <c r="K216" s="23" t="n">
        <f aca="false">MONTH(B216)</f>
        <v>7</v>
      </c>
    </row>
    <row r="217" customFormat="false" ht="15" hidden="false" customHeight="true" outlineLevel="0" collapsed="false">
      <c r="A217" s="18" t="s">
        <v>271</v>
      </c>
      <c r="B217" s="19" t="n">
        <v>45417</v>
      </c>
      <c r="C217" s="18" t="s">
        <v>27</v>
      </c>
      <c r="D217" s="18" t="s">
        <v>120</v>
      </c>
      <c r="E217" s="18" t="s">
        <v>29</v>
      </c>
      <c r="F217" s="20" t="n">
        <v>26922</v>
      </c>
      <c r="G217" s="20" t="n">
        <v>3796</v>
      </c>
      <c r="H217" s="18" t="n">
        <v>2</v>
      </c>
      <c r="I217" s="20" t="n">
        <f aca="false">F217</f>
        <v>26922</v>
      </c>
      <c r="J217" s="22" t="n">
        <f aca="false">IFERROR(G217/F217,0)</f>
        <v>0.140999925711314</v>
      </c>
      <c r="K217" s="23" t="n">
        <f aca="false">MONTH(B217)</f>
        <v>5</v>
      </c>
    </row>
    <row r="218" customFormat="false" ht="15" hidden="false" customHeight="true" outlineLevel="0" collapsed="false">
      <c r="A218" s="18" t="s">
        <v>272</v>
      </c>
      <c r="B218" s="19" t="n">
        <v>45456</v>
      </c>
      <c r="C218" s="18" t="s">
        <v>39</v>
      </c>
      <c r="D218" s="18" t="s">
        <v>36</v>
      </c>
      <c r="E218" s="18" t="s">
        <v>25</v>
      </c>
      <c r="F218" s="20" t="n">
        <v>38563</v>
      </c>
      <c r="G218" s="20" t="n">
        <v>6864.21</v>
      </c>
      <c r="H218" s="18" t="n">
        <v>7</v>
      </c>
      <c r="I218" s="20" t="n">
        <f aca="false">F218</f>
        <v>38563</v>
      </c>
      <c r="J218" s="22" t="n">
        <f aca="false">IFERROR(G218/F218,0)</f>
        <v>0.17799989627363</v>
      </c>
      <c r="K218" s="23" t="n">
        <f aca="false">MONTH(B218)</f>
        <v>6</v>
      </c>
    </row>
    <row r="219" customFormat="false" ht="15" hidden="false" customHeight="true" outlineLevel="0" collapsed="false">
      <c r="A219" s="18" t="s">
        <v>273</v>
      </c>
      <c r="B219" s="19" t="n">
        <v>45361</v>
      </c>
      <c r="C219" s="18" t="s">
        <v>27</v>
      </c>
      <c r="D219" s="18" t="s">
        <v>44</v>
      </c>
      <c r="E219" s="18" t="s">
        <v>32</v>
      </c>
      <c r="F219" s="20" t="n">
        <v>3031</v>
      </c>
      <c r="G219" s="20" t="n">
        <v>357.66</v>
      </c>
      <c r="H219" s="18" t="n">
        <v>1</v>
      </c>
      <c r="I219" s="20" t="n">
        <f aca="false">F219</f>
        <v>3031</v>
      </c>
      <c r="J219" s="22" t="n">
        <f aca="false">IFERROR(G219/F219,0)</f>
        <v>0.118000659848235</v>
      </c>
      <c r="K219" s="23" t="n">
        <f aca="false">MONTH(B219)</f>
        <v>3</v>
      </c>
    </row>
    <row r="220" customFormat="false" ht="15" hidden="false" customHeight="true" outlineLevel="0" collapsed="false">
      <c r="A220" s="18" t="s">
        <v>274</v>
      </c>
      <c r="B220" s="19" t="n">
        <v>45604</v>
      </c>
      <c r="C220" s="18" t="s">
        <v>27</v>
      </c>
      <c r="D220" s="18" t="s">
        <v>36</v>
      </c>
      <c r="E220" s="18" t="s">
        <v>25</v>
      </c>
      <c r="F220" s="20" t="n">
        <v>10416</v>
      </c>
      <c r="G220" s="20" t="n">
        <v>3364.37</v>
      </c>
      <c r="H220" s="18" t="n">
        <v>6</v>
      </c>
      <c r="I220" s="20" t="n">
        <f aca="false">F220</f>
        <v>10416</v>
      </c>
      <c r="J220" s="22" t="n">
        <f aca="false">IFERROR(G220/F220,0)</f>
        <v>0.323000192012289</v>
      </c>
      <c r="K220" s="23" t="n">
        <f aca="false">MONTH(B220)</f>
        <v>11</v>
      </c>
    </row>
    <row r="221" customFormat="false" ht="15" hidden="false" customHeight="true" outlineLevel="0" collapsed="false">
      <c r="A221" s="18" t="s">
        <v>275</v>
      </c>
      <c r="B221" s="19" t="n">
        <v>45522</v>
      </c>
      <c r="C221" s="18" t="s">
        <v>27</v>
      </c>
      <c r="D221" s="18" t="s">
        <v>34</v>
      </c>
      <c r="E221" s="18" t="s">
        <v>25</v>
      </c>
      <c r="F221" s="20" t="n">
        <v>9045</v>
      </c>
      <c r="G221" s="20" t="n">
        <v>1591.92</v>
      </c>
      <c r="H221" s="18" t="n">
        <v>9</v>
      </c>
      <c r="I221" s="20" t="n">
        <f aca="false">F221</f>
        <v>9045</v>
      </c>
      <c r="J221" s="22" t="n">
        <f aca="false">IFERROR(G221/F221,0)</f>
        <v>0.176</v>
      </c>
      <c r="K221" s="23" t="n">
        <f aca="false">MONTH(B221)</f>
        <v>8</v>
      </c>
    </row>
    <row r="222" customFormat="false" ht="15" hidden="false" customHeight="true" outlineLevel="0" collapsed="false">
      <c r="A222" s="18" t="s">
        <v>276</v>
      </c>
      <c r="B222" s="19" t="n">
        <v>45337</v>
      </c>
      <c r="C222" s="18" t="s">
        <v>39</v>
      </c>
      <c r="D222" s="18" t="s">
        <v>120</v>
      </c>
      <c r="E222" s="18" t="s">
        <v>29</v>
      </c>
      <c r="F222" s="20" t="n">
        <v>114653</v>
      </c>
      <c r="G222" s="20" t="n">
        <v>16395.38</v>
      </c>
      <c r="H222" s="18" t="n">
        <v>7</v>
      </c>
      <c r="I222" s="20" t="n">
        <f aca="false">F222</f>
        <v>114653</v>
      </c>
      <c r="J222" s="22" t="n">
        <f aca="false">IFERROR(G222/F222,0)</f>
        <v>0.14300000872197</v>
      </c>
      <c r="K222" s="23" t="n">
        <f aca="false">MONTH(B222)</f>
        <v>2</v>
      </c>
    </row>
    <row r="223" customFormat="false" ht="15" hidden="false" customHeight="true" outlineLevel="0" collapsed="false">
      <c r="A223" s="18" t="s">
        <v>277</v>
      </c>
      <c r="B223" s="19" t="n">
        <v>45461</v>
      </c>
      <c r="C223" s="18" t="s">
        <v>27</v>
      </c>
      <c r="D223" s="18" t="s">
        <v>62</v>
      </c>
      <c r="E223" s="18" t="s">
        <v>50</v>
      </c>
      <c r="F223" s="20" t="n">
        <v>1048</v>
      </c>
      <c r="G223" s="20" t="n">
        <v>372.04</v>
      </c>
      <c r="H223" s="18" t="n">
        <v>8</v>
      </c>
      <c r="I223" s="20" t="n">
        <f aca="false">F223</f>
        <v>1048</v>
      </c>
      <c r="J223" s="22" t="n">
        <f aca="false">IFERROR(G223/F223,0)</f>
        <v>0.355</v>
      </c>
      <c r="K223" s="23" t="n">
        <f aca="false">MONTH(B223)</f>
        <v>6</v>
      </c>
    </row>
    <row r="224" customFormat="false" ht="15" hidden="false" customHeight="true" outlineLevel="0" collapsed="false">
      <c r="A224" s="18" t="s">
        <v>278</v>
      </c>
      <c r="B224" s="19" t="n">
        <v>45448</v>
      </c>
      <c r="C224" s="18" t="s">
        <v>23</v>
      </c>
      <c r="D224" s="18" t="s">
        <v>120</v>
      </c>
      <c r="E224" s="18" t="s">
        <v>29</v>
      </c>
      <c r="F224" s="20" t="n">
        <v>15988</v>
      </c>
      <c r="G224" s="20" t="n">
        <v>3133.65</v>
      </c>
      <c r="H224" s="18" t="n">
        <v>1</v>
      </c>
      <c r="I224" s="20" t="n">
        <f aca="false">F224</f>
        <v>15988</v>
      </c>
      <c r="J224" s="22" t="n">
        <f aca="false">IFERROR(G224/F224,0)</f>
        <v>0.19600012509382</v>
      </c>
      <c r="K224" s="23" t="n">
        <f aca="false">MONTH(B224)</f>
        <v>6</v>
      </c>
    </row>
    <row r="225" customFormat="false" ht="15" hidden="false" customHeight="true" outlineLevel="0" collapsed="false">
      <c r="A225" s="18" t="s">
        <v>279</v>
      </c>
      <c r="B225" s="19" t="n">
        <v>45504</v>
      </c>
      <c r="C225" s="18" t="s">
        <v>19</v>
      </c>
      <c r="D225" s="18" t="s">
        <v>24</v>
      </c>
      <c r="E225" s="18" t="s">
        <v>25</v>
      </c>
      <c r="F225" s="20" t="n">
        <v>10323</v>
      </c>
      <c r="G225" s="20" t="n">
        <v>3241.42</v>
      </c>
      <c r="H225" s="18" t="n">
        <v>9</v>
      </c>
      <c r="I225" s="20" t="n">
        <f aca="false">F225</f>
        <v>10323</v>
      </c>
      <c r="J225" s="22" t="n">
        <f aca="false">IFERROR(G225/F225,0)</f>
        <v>0.313999806257871</v>
      </c>
      <c r="K225" s="23" t="n">
        <f aca="false">MONTH(B225)</f>
        <v>7</v>
      </c>
    </row>
    <row r="226" customFormat="false" ht="15" hidden="false" customHeight="true" outlineLevel="0" collapsed="false">
      <c r="A226" s="18" t="s">
        <v>280</v>
      </c>
      <c r="B226" s="19" t="n">
        <v>45358</v>
      </c>
      <c r="C226" s="18" t="s">
        <v>39</v>
      </c>
      <c r="D226" s="18" t="s">
        <v>86</v>
      </c>
      <c r="E226" s="18" t="s">
        <v>21</v>
      </c>
      <c r="F226" s="20" t="n">
        <v>178220</v>
      </c>
      <c r="G226" s="20" t="n">
        <v>42772.8</v>
      </c>
      <c r="H226" s="18" t="n">
        <v>5</v>
      </c>
      <c r="I226" s="20" t="n">
        <f aca="false">F226</f>
        <v>178220</v>
      </c>
      <c r="J226" s="22" t="n">
        <f aca="false">IFERROR(G226/F226,0)</f>
        <v>0.24</v>
      </c>
      <c r="K226" s="23" t="n">
        <f aca="false">MONTH(B226)</f>
        <v>3</v>
      </c>
    </row>
    <row r="227" customFormat="false" ht="15" hidden="false" customHeight="true" outlineLevel="0" collapsed="false">
      <c r="A227" s="18" t="s">
        <v>281</v>
      </c>
      <c r="B227" s="19" t="n">
        <v>45317</v>
      </c>
      <c r="C227" s="18" t="s">
        <v>39</v>
      </c>
      <c r="D227" s="18" t="s">
        <v>46</v>
      </c>
      <c r="E227" s="18" t="s">
        <v>29</v>
      </c>
      <c r="F227" s="20" t="n">
        <v>28504</v>
      </c>
      <c r="G227" s="20" t="n">
        <v>4703.16</v>
      </c>
      <c r="H227" s="18" t="n">
        <v>4</v>
      </c>
      <c r="I227" s="20" t="n">
        <f aca="false">F227</f>
        <v>28504</v>
      </c>
      <c r="J227" s="22" t="n">
        <f aca="false">IFERROR(G227/F227,0)</f>
        <v>0.165</v>
      </c>
      <c r="K227" s="23" t="n">
        <f aca="false">MONTH(B227)</f>
        <v>1</v>
      </c>
    </row>
    <row r="228" customFormat="false" ht="15" hidden="false" customHeight="true" outlineLevel="0" collapsed="false">
      <c r="A228" s="18" t="s">
        <v>282</v>
      </c>
      <c r="B228" s="19" t="n">
        <v>45624</v>
      </c>
      <c r="C228" s="18" t="s">
        <v>19</v>
      </c>
      <c r="D228" s="18" t="s">
        <v>86</v>
      </c>
      <c r="E228" s="18" t="s">
        <v>21</v>
      </c>
      <c r="F228" s="20" t="n">
        <v>192845</v>
      </c>
      <c r="G228" s="20" t="n">
        <v>36062.01</v>
      </c>
      <c r="H228" s="18" t="n">
        <v>5</v>
      </c>
      <c r="I228" s="20" t="n">
        <f aca="false">F228</f>
        <v>192845</v>
      </c>
      <c r="J228" s="22" t="n">
        <f aca="false">IFERROR(G228/F228,0)</f>
        <v>0.186999974072442</v>
      </c>
      <c r="K228" s="23" t="n">
        <f aca="false">MONTH(B228)</f>
        <v>11</v>
      </c>
    </row>
    <row r="229" customFormat="false" ht="15" hidden="false" customHeight="true" outlineLevel="0" collapsed="false">
      <c r="A229" s="18" t="s">
        <v>283</v>
      </c>
      <c r="B229" s="19" t="n">
        <v>45578</v>
      </c>
      <c r="C229" s="18" t="s">
        <v>27</v>
      </c>
      <c r="D229" s="18" t="s">
        <v>120</v>
      </c>
      <c r="E229" s="18" t="s">
        <v>29</v>
      </c>
      <c r="F229" s="20" t="n">
        <v>29634</v>
      </c>
      <c r="G229" s="20" t="n">
        <v>5511.92</v>
      </c>
      <c r="H229" s="18" t="n">
        <v>3</v>
      </c>
      <c r="I229" s="20" t="n">
        <f aca="false">F229</f>
        <v>29634</v>
      </c>
      <c r="J229" s="22" t="n">
        <f aca="false">IFERROR(G229/F229,0)</f>
        <v>0.18599986501991</v>
      </c>
      <c r="K229" s="23" t="n">
        <f aca="false">MONTH(B229)</f>
        <v>10</v>
      </c>
    </row>
    <row r="230" customFormat="false" ht="15" hidden="false" customHeight="true" outlineLevel="0" collapsed="false">
      <c r="A230" s="18" t="s">
        <v>284</v>
      </c>
      <c r="B230" s="19" t="n">
        <v>45496</v>
      </c>
      <c r="C230" s="18" t="s">
        <v>19</v>
      </c>
      <c r="D230" s="18" t="s">
        <v>42</v>
      </c>
      <c r="E230" s="18" t="s">
        <v>21</v>
      </c>
      <c r="F230" s="20" t="n">
        <v>37044</v>
      </c>
      <c r="G230" s="20" t="n">
        <v>6816.1</v>
      </c>
      <c r="H230" s="18" t="n">
        <v>3</v>
      </c>
      <c r="I230" s="20" t="n">
        <f aca="false">F230</f>
        <v>37044</v>
      </c>
      <c r="J230" s="22" t="n">
        <f aca="false">IFERROR(G230/F230,0)</f>
        <v>0.1840001079797</v>
      </c>
      <c r="K230" s="23" t="n">
        <f aca="false">MONTH(B230)</f>
        <v>7</v>
      </c>
    </row>
    <row r="231" customFormat="false" ht="15" hidden="false" customHeight="true" outlineLevel="0" collapsed="false">
      <c r="A231" s="18" t="s">
        <v>285</v>
      </c>
      <c r="B231" s="19" t="n">
        <v>45318</v>
      </c>
      <c r="C231" s="18" t="s">
        <v>41</v>
      </c>
      <c r="D231" s="18" t="s">
        <v>75</v>
      </c>
      <c r="E231" s="18" t="s">
        <v>29</v>
      </c>
      <c r="F231" s="20" t="n">
        <v>13531</v>
      </c>
      <c r="G231" s="20" t="n">
        <v>1407.22</v>
      </c>
      <c r="H231" s="18" t="n">
        <v>7</v>
      </c>
      <c r="I231" s="20" t="n">
        <f aca="false">F231</f>
        <v>13531</v>
      </c>
      <c r="J231" s="22" t="n">
        <f aca="false">IFERROR(G231/F231,0)</f>
        <v>0.103999704382529</v>
      </c>
      <c r="K231" s="23" t="n">
        <f aca="false">MONTH(B231)</f>
        <v>1</v>
      </c>
    </row>
    <row r="232" customFormat="false" ht="15" hidden="false" customHeight="true" outlineLevel="0" collapsed="false">
      <c r="A232" s="18" t="s">
        <v>286</v>
      </c>
      <c r="B232" s="19" t="n">
        <v>45462</v>
      </c>
      <c r="C232" s="18" t="s">
        <v>39</v>
      </c>
      <c r="D232" s="18" t="s">
        <v>75</v>
      </c>
      <c r="E232" s="18" t="s">
        <v>29</v>
      </c>
      <c r="F232" s="20" t="n">
        <v>7305</v>
      </c>
      <c r="G232" s="20" t="n">
        <v>1271.07</v>
      </c>
      <c r="H232" s="18" t="n">
        <v>5</v>
      </c>
      <c r="I232" s="20" t="n">
        <f aca="false">F232</f>
        <v>7305</v>
      </c>
      <c r="J232" s="22" t="n">
        <f aca="false">IFERROR(G232/F232,0)</f>
        <v>0.174</v>
      </c>
      <c r="K232" s="23" t="n">
        <f aca="false">MONTH(B232)</f>
        <v>6</v>
      </c>
    </row>
    <row r="233" customFormat="false" ht="15" hidden="false" customHeight="true" outlineLevel="0" collapsed="false">
      <c r="A233" s="18" t="s">
        <v>287</v>
      </c>
      <c r="B233" s="19" t="n">
        <v>45586</v>
      </c>
      <c r="C233" s="18" t="s">
        <v>27</v>
      </c>
      <c r="D233" s="18" t="s">
        <v>49</v>
      </c>
      <c r="E233" s="18" t="s">
        <v>50</v>
      </c>
      <c r="F233" s="20" t="n">
        <v>246</v>
      </c>
      <c r="G233" s="20" t="n">
        <v>80.44</v>
      </c>
      <c r="H233" s="18" t="n">
        <v>3</v>
      </c>
      <c r="I233" s="20" t="n">
        <f aca="false">F233</f>
        <v>246</v>
      </c>
      <c r="J233" s="22" t="n">
        <f aca="false">IFERROR(G233/F233,0)</f>
        <v>0.326991869918699</v>
      </c>
      <c r="K233" s="23" t="n">
        <f aca="false">MONTH(B233)</f>
        <v>10</v>
      </c>
    </row>
    <row r="234" customFormat="false" ht="15" hidden="false" customHeight="true" outlineLevel="0" collapsed="false">
      <c r="A234" s="18" t="s">
        <v>288</v>
      </c>
      <c r="B234" s="19" t="n">
        <v>45293</v>
      </c>
      <c r="C234" s="18" t="s">
        <v>39</v>
      </c>
      <c r="D234" s="18" t="s">
        <v>46</v>
      </c>
      <c r="E234" s="18" t="s">
        <v>29</v>
      </c>
      <c r="F234" s="20" t="n">
        <v>8484</v>
      </c>
      <c r="G234" s="20" t="n">
        <v>1204.73</v>
      </c>
      <c r="H234" s="18" t="n">
        <v>2</v>
      </c>
      <c r="I234" s="20" t="n">
        <f aca="false">F234</f>
        <v>8484</v>
      </c>
      <c r="J234" s="22" t="n">
        <f aca="false">IFERROR(G234/F234,0)</f>
        <v>0.14200023573786</v>
      </c>
      <c r="K234" s="23" t="n">
        <f aca="false">MONTH(B234)</f>
        <v>1</v>
      </c>
    </row>
    <row r="235" customFormat="false" ht="15" hidden="false" customHeight="true" outlineLevel="0" collapsed="false">
      <c r="A235" s="18" t="s">
        <v>289</v>
      </c>
      <c r="B235" s="19" t="n">
        <v>45603</v>
      </c>
      <c r="C235" s="18" t="s">
        <v>19</v>
      </c>
      <c r="D235" s="18" t="s">
        <v>86</v>
      </c>
      <c r="E235" s="18" t="s">
        <v>21</v>
      </c>
      <c r="F235" s="20" t="n">
        <v>93142</v>
      </c>
      <c r="G235" s="20" t="n">
        <v>11922.18</v>
      </c>
      <c r="H235" s="18" t="n">
        <v>2</v>
      </c>
      <c r="I235" s="20" t="n">
        <f aca="false">F235</f>
        <v>93142</v>
      </c>
      <c r="J235" s="22" t="n">
        <f aca="false">IFERROR(G235/F235,0)</f>
        <v>0.12800004294518</v>
      </c>
      <c r="K235" s="23" t="n">
        <f aca="false">MONTH(B235)</f>
        <v>11</v>
      </c>
    </row>
    <row r="236" customFormat="false" ht="15" hidden="false" customHeight="true" outlineLevel="0" collapsed="false">
      <c r="A236" s="18" t="s">
        <v>290</v>
      </c>
      <c r="B236" s="19" t="n">
        <v>45343</v>
      </c>
      <c r="C236" s="18" t="s">
        <v>27</v>
      </c>
      <c r="D236" s="18" t="s">
        <v>24</v>
      </c>
      <c r="E236" s="18" t="s">
        <v>25</v>
      </c>
      <c r="F236" s="20" t="n">
        <v>19330</v>
      </c>
      <c r="G236" s="20" t="n">
        <v>5837.66</v>
      </c>
      <c r="H236" s="18" t="n">
        <v>10</v>
      </c>
      <c r="I236" s="20" t="n">
        <f aca="false">F236</f>
        <v>19330</v>
      </c>
      <c r="J236" s="22" t="n">
        <f aca="false">IFERROR(G236/F236,0)</f>
        <v>0.302</v>
      </c>
      <c r="K236" s="23" t="n">
        <f aca="false">MONTH(B236)</f>
        <v>2</v>
      </c>
    </row>
    <row r="237" customFormat="false" ht="15" hidden="false" customHeight="true" outlineLevel="0" collapsed="false">
      <c r="A237" s="18" t="s">
        <v>291</v>
      </c>
      <c r="B237" s="19" t="n">
        <v>45628</v>
      </c>
      <c r="C237" s="18" t="s">
        <v>19</v>
      </c>
      <c r="D237" s="18" t="s">
        <v>31</v>
      </c>
      <c r="E237" s="18" t="s">
        <v>32</v>
      </c>
      <c r="F237" s="20" t="n">
        <v>158727</v>
      </c>
      <c r="G237" s="20" t="n">
        <v>23809.05</v>
      </c>
      <c r="H237" s="18" t="n">
        <v>3</v>
      </c>
      <c r="I237" s="20" t="n">
        <f aca="false">F237</f>
        <v>158727</v>
      </c>
      <c r="J237" s="22" t="n">
        <f aca="false">IFERROR(G237/F237,0)</f>
        <v>0.15</v>
      </c>
      <c r="K237" s="23" t="n">
        <f aca="false">MONTH(B237)</f>
        <v>12</v>
      </c>
    </row>
    <row r="238" customFormat="false" ht="15" hidden="false" customHeight="true" outlineLevel="0" collapsed="false">
      <c r="A238" s="18" t="s">
        <v>292</v>
      </c>
      <c r="B238" s="19" t="n">
        <v>45486</v>
      </c>
      <c r="C238" s="18" t="s">
        <v>27</v>
      </c>
      <c r="D238" s="18" t="s">
        <v>62</v>
      </c>
      <c r="E238" s="18" t="s">
        <v>50</v>
      </c>
      <c r="F238" s="20" t="n">
        <v>950</v>
      </c>
      <c r="G238" s="20" t="n">
        <v>378.1</v>
      </c>
      <c r="H238" s="18" t="n">
        <v>5</v>
      </c>
      <c r="I238" s="20" t="n">
        <f aca="false">F238</f>
        <v>950</v>
      </c>
      <c r="J238" s="22" t="n">
        <f aca="false">IFERROR(G238/F238,0)</f>
        <v>0.398</v>
      </c>
      <c r="K238" s="23" t="n">
        <f aca="false">MONTH(B238)</f>
        <v>7</v>
      </c>
    </row>
    <row r="239" customFormat="false" ht="15" hidden="false" customHeight="true" outlineLevel="0" collapsed="false">
      <c r="A239" s="18" t="s">
        <v>293</v>
      </c>
      <c r="B239" s="19" t="n">
        <v>45416</v>
      </c>
      <c r="C239" s="18" t="s">
        <v>19</v>
      </c>
      <c r="D239" s="18" t="s">
        <v>20</v>
      </c>
      <c r="E239" s="18" t="s">
        <v>21</v>
      </c>
      <c r="F239" s="20" t="n">
        <v>81570</v>
      </c>
      <c r="G239" s="20" t="n">
        <v>10604.1</v>
      </c>
      <c r="H239" s="18" t="n">
        <v>6</v>
      </c>
      <c r="I239" s="20" t="n">
        <f aca="false">F239</f>
        <v>81570</v>
      </c>
      <c r="J239" s="22" t="n">
        <f aca="false">IFERROR(G239/F239,0)</f>
        <v>0.13</v>
      </c>
      <c r="K239" s="23" t="n">
        <f aca="false">MONTH(B239)</f>
        <v>5</v>
      </c>
    </row>
    <row r="240" customFormat="false" ht="15" hidden="false" customHeight="true" outlineLevel="0" collapsed="false">
      <c r="A240" s="18" t="s">
        <v>294</v>
      </c>
      <c r="B240" s="19" t="n">
        <v>45383</v>
      </c>
      <c r="C240" s="18" t="s">
        <v>23</v>
      </c>
      <c r="D240" s="18" t="s">
        <v>46</v>
      </c>
      <c r="E240" s="18" t="s">
        <v>29</v>
      </c>
      <c r="F240" s="20" t="n">
        <v>34263</v>
      </c>
      <c r="G240" s="20" t="n">
        <v>6647.02</v>
      </c>
      <c r="H240" s="18" t="n">
        <v>3</v>
      </c>
      <c r="I240" s="20" t="n">
        <f aca="false">F240</f>
        <v>34263</v>
      </c>
      <c r="J240" s="22" t="n">
        <f aca="false">IFERROR(G240/F240,0)</f>
        <v>0.193999941627995</v>
      </c>
      <c r="K240" s="23" t="n">
        <f aca="false">MONTH(B240)</f>
        <v>4</v>
      </c>
    </row>
    <row r="241" customFormat="false" ht="15" hidden="false" customHeight="true" outlineLevel="0" collapsed="false">
      <c r="A241" s="18" t="s">
        <v>295</v>
      </c>
      <c r="B241" s="19" t="n">
        <v>45455</v>
      </c>
      <c r="C241" s="18" t="s">
        <v>19</v>
      </c>
      <c r="D241" s="18" t="s">
        <v>55</v>
      </c>
      <c r="E241" s="18" t="s">
        <v>32</v>
      </c>
      <c r="F241" s="20" t="n">
        <v>364320</v>
      </c>
      <c r="G241" s="20" t="n">
        <v>33517.44</v>
      </c>
      <c r="H241" s="18" t="n">
        <v>10</v>
      </c>
      <c r="I241" s="20" t="n">
        <f aca="false">F241</f>
        <v>364320</v>
      </c>
      <c r="J241" s="22" t="n">
        <f aca="false">IFERROR(G241/F241,0)</f>
        <v>0.092</v>
      </c>
      <c r="K241" s="23" t="n">
        <f aca="false">MONTH(B241)</f>
        <v>6</v>
      </c>
    </row>
    <row r="242" customFormat="false" ht="15" hidden="false" customHeight="true" outlineLevel="0" collapsed="false">
      <c r="A242" s="18" t="s">
        <v>296</v>
      </c>
      <c r="B242" s="19" t="n">
        <v>45588</v>
      </c>
      <c r="C242" s="18" t="s">
        <v>27</v>
      </c>
      <c r="D242" s="18" t="s">
        <v>86</v>
      </c>
      <c r="E242" s="18" t="s">
        <v>21</v>
      </c>
      <c r="F242" s="20" t="n">
        <v>83571</v>
      </c>
      <c r="G242" s="20" t="n">
        <v>13622.07</v>
      </c>
      <c r="H242" s="18" t="n">
        <v>3</v>
      </c>
      <c r="I242" s="20" t="n">
        <f aca="false">F242</f>
        <v>83571</v>
      </c>
      <c r="J242" s="22" t="n">
        <f aca="false">IFERROR(G242/F242,0)</f>
        <v>0.16299996410238</v>
      </c>
      <c r="K242" s="23" t="n">
        <f aca="false">MONTH(B242)</f>
        <v>10</v>
      </c>
    </row>
    <row r="243" customFormat="false" ht="15" hidden="false" customHeight="true" outlineLevel="0" collapsed="false">
      <c r="A243" s="18" t="s">
        <v>297</v>
      </c>
      <c r="B243" s="19" t="n">
        <v>45614</v>
      </c>
      <c r="C243" s="18" t="s">
        <v>41</v>
      </c>
      <c r="D243" s="18" t="s">
        <v>93</v>
      </c>
      <c r="E243" s="18" t="s">
        <v>32</v>
      </c>
      <c r="F243" s="20" t="n">
        <v>44367</v>
      </c>
      <c r="G243" s="20" t="n">
        <v>6033.91</v>
      </c>
      <c r="H243" s="18" t="n">
        <v>3</v>
      </c>
      <c r="I243" s="20" t="n">
        <f aca="false">F243</f>
        <v>44367</v>
      </c>
      <c r="J243" s="22" t="n">
        <f aca="false">IFERROR(G243/F243,0)</f>
        <v>0.135999954921451</v>
      </c>
      <c r="K243" s="23" t="n">
        <f aca="false">MONTH(B243)</f>
        <v>11</v>
      </c>
    </row>
    <row r="244" customFormat="false" ht="15" hidden="false" customHeight="true" outlineLevel="0" collapsed="false">
      <c r="A244" s="18" t="s">
        <v>298</v>
      </c>
      <c r="B244" s="19" t="n">
        <v>45346</v>
      </c>
      <c r="C244" s="18" t="s">
        <v>19</v>
      </c>
      <c r="D244" s="18" t="s">
        <v>42</v>
      </c>
      <c r="E244" s="18" t="s">
        <v>21</v>
      </c>
      <c r="F244" s="20" t="n">
        <v>48056</v>
      </c>
      <c r="G244" s="20" t="n">
        <v>7448.68</v>
      </c>
      <c r="H244" s="18" t="n">
        <v>8</v>
      </c>
      <c r="I244" s="20" t="n">
        <f aca="false">F244</f>
        <v>48056</v>
      </c>
      <c r="J244" s="22" t="n">
        <f aca="false">IFERROR(G244/F244,0)</f>
        <v>0.155</v>
      </c>
      <c r="K244" s="23" t="n">
        <f aca="false">MONTH(B244)</f>
        <v>2</v>
      </c>
    </row>
    <row r="245" customFormat="false" ht="15" hidden="false" customHeight="true" outlineLevel="0" collapsed="false">
      <c r="A245" s="18" t="s">
        <v>299</v>
      </c>
      <c r="B245" s="19" t="n">
        <v>45599</v>
      </c>
      <c r="C245" s="18" t="s">
        <v>27</v>
      </c>
      <c r="D245" s="18" t="s">
        <v>106</v>
      </c>
      <c r="E245" s="18" t="s">
        <v>25</v>
      </c>
      <c r="F245" s="20" t="n">
        <v>15918</v>
      </c>
      <c r="G245" s="20" t="n">
        <v>2753.81</v>
      </c>
      <c r="H245" s="18" t="n">
        <v>6</v>
      </c>
      <c r="I245" s="20" t="n">
        <f aca="false">F245</f>
        <v>15918</v>
      </c>
      <c r="J245" s="22" t="n">
        <f aca="false">IFERROR(G245/F245,0)</f>
        <v>0.17299974871215</v>
      </c>
      <c r="K245" s="23" t="n">
        <f aca="false">MONTH(B245)</f>
        <v>11</v>
      </c>
    </row>
    <row r="246" customFormat="false" ht="15" hidden="false" customHeight="true" outlineLevel="0" collapsed="false">
      <c r="A246" s="18" t="s">
        <v>300</v>
      </c>
      <c r="B246" s="19" t="n">
        <v>45309</v>
      </c>
      <c r="C246" s="18" t="s">
        <v>39</v>
      </c>
      <c r="D246" s="18" t="s">
        <v>55</v>
      </c>
      <c r="E246" s="18" t="s">
        <v>32</v>
      </c>
      <c r="F246" s="20" t="n">
        <v>144028</v>
      </c>
      <c r="G246" s="20" t="n">
        <v>16707.25</v>
      </c>
      <c r="H246" s="18" t="n">
        <v>4</v>
      </c>
      <c r="I246" s="20" t="n">
        <f aca="false">F246</f>
        <v>144028</v>
      </c>
      <c r="J246" s="22" t="n">
        <f aca="false">IFERROR(G246/F246,0)</f>
        <v>0.116000013886189</v>
      </c>
      <c r="K246" s="23" t="n">
        <f aca="false">MONTH(B246)</f>
        <v>1</v>
      </c>
    </row>
    <row r="247" customFormat="false" ht="15" hidden="false" customHeight="true" outlineLevel="0" collapsed="false">
      <c r="A247" s="18" t="s">
        <v>301</v>
      </c>
      <c r="B247" s="19" t="n">
        <v>45407</v>
      </c>
      <c r="C247" s="18" t="s">
        <v>41</v>
      </c>
      <c r="D247" s="18" t="s">
        <v>70</v>
      </c>
      <c r="E247" s="18" t="s">
        <v>21</v>
      </c>
      <c r="F247" s="20" t="n">
        <v>29277</v>
      </c>
      <c r="G247" s="20" t="n">
        <v>5621.18</v>
      </c>
      <c r="H247" s="18" t="n">
        <v>1</v>
      </c>
      <c r="I247" s="20" t="n">
        <f aca="false">F247</f>
        <v>29277</v>
      </c>
      <c r="J247" s="22" t="n">
        <f aca="false">IFERROR(G247/F247,0)</f>
        <v>0.19199986337398</v>
      </c>
      <c r="K247" s="23" t="n">
        <f aca="false">MONTH(B247)</f>
        <v>4</v>
      </c>
    </row>
    <row r="248" customFormat="false" ht="15" hidden="false" customHeight="true" outlineLevel="0" collapsed="false">
      <c r="A248" s="18" t="s">
        <v>302</v>
      </c>
      <c r="B248" s="19" t="n">
        <v>45656</v>
      </c>
      <c r="C248" s="18" t="s">
        <v>41</v>
      </c>
      <c r="D248" s="18" t="s">
        <v>88</v>
      </c>
      <c r="E248" s="18" t="s">
        <v>50</v>
      </c>
      <c r="F248" s="20" t="n">
        <v>1615</v>
      </c>
      <c r="G248" s="20" t="n">
        <v>524.88</v>
      </c>
      <c r="H248" s="18" t="n">
        <v>5</v>
      </c>
      <c r="I248" s="20" t="n">
        <f aca="false">F248</f>
        <v>1615</v>
      </c>
      <c r="J248" s="22" t="n">
        <f aca="false">IFERROR(G248/F248,0)</f>
        <v>0.325003095975232</v>
      </c>
      <c r="K248" s="23" t="n">
        <f aca="false">MONTH(B248)</f>
        <v>12</v>
      </c>
    </row>
    <row r="249" customFormat="false" ht="15" hidden="false" customHeight="true" outlineLevel="0" collapsed="false">
      <c r="A249" s="18" t="s">
        <v>303</v>
      </c>
      <c r="B249" s="19" t="n">
        <v>45433</v>
      </c>
      <c r="C249" s="18" t="s">
        <v>19</v>
      </c>
      <c r="D249" s="18" t="s">
        <v>83</v>
      </c>
      <c r="E249" s="18" t="s">
        <v>21</v>
      </c>
      <c r="F249" s="20" t="n">
        <v>36975</v>
      </c>
      <c r="G249" s="20" t="n">
        <v>5324.4</v>
      </c>
      <c r="H249" s="18" t="n">
        <v>5</v>
      </c>
      <c r="I249" s="20" t="n">
        <f aca="false">F249</f>
        <v>36975</v>
      </c>
      <c r="J249" s="22" t="n">
        <f aca="false">IFERROR(G249/F249,0)</f>
        <v>0.144</v>
      </c>
      <c r="K249" s="23" t="n">
        <f aca="false">MONTH(B249)</f>
        <v>5</v>
      </c>
    </row>
    <row r="250" customFormat="false" ht="15" hidden="false" customHeight="true" outlineLevel="0" collapsed="false">
      <c r="A250" s="18" t="s">
        <v>304</v>
      </c>
      <c r="B250" s="19" t="n">
        <v>45615</v>
      </c>
      <c r="C250" s="18" t="s">
        <v>23</v>
      </c>
      <c r="D250" s="18" t="s">
        <v>46</v>
      </c>
      <c r="E250" s="18" t="s">
        <v>29</v>
      </c>
      <c r="F250" s="20" t="n">
        <v>23408</v>
      </c>
      <c r="G250" s="20" t="n">
        <v>3019.63</v>
      </c>
      <c r="H250" s="18" t="n">
        <v>4</v>
      </c>
      <c r="I250" s="20" t="n">
        <f aca="false">F250</f>
        <v>23408</v>
      </c>
      <c r="J250" s="22" t="n">
        <f aca="false">IFERROR(G250/F250,0)</f>
        <v>0.128999914559125</v>
      </c>
      <c r="K250" s="23" t="n">
        <f aca="false">MONTH(B250)</f>
        <v>11</v>
      </c>
    </row>
    <row r="251" customFormat="false" ht="15" hidden="false" customHeight="true" outlineLevel="0" collapsed="false">
      <c r="A251" s="18" t="s">
        <v>305</v>
      </c>
      <c r="B251" s="19" t="n">
        <v>45336</v>
      </c>
      <c r="C251" s="18" t="s">
        <v>27</v>
      </c>
      <c r="D251" s="18" t="s">
        <v>52</v>
      </c>
      <c r="E251" s="18" t="s">
        <v>32</v>
      </c>
      <c r="F251" s="20" t="n">
        <v>10076</v>
      </c>
      <c r="G251" s="20" t="n">
        <v>1622.24</v>
      </c>
      <c r="H251" s="18" t="n">
        <v>4</v>
      </c>
      <c r="I251" s="20" t="n">
        <f aca="false">F251</f>
        <v>10076</v>
      </c>
      <c r="J251" s="22" t="n">
        <f aca="false">IFERROR(G251/F251,0)</f>
        <v>0.16100039698293</v>
      </c>
      <c r="K251" s="23" t="n">
        <f aca="false">MONTH(B251)</f>
        <v>2</v>
      </c>
    </row>
    <row r="252" customFormat="false" ht="15" hidden="false" customHeight="true" outlineLevel="0" collapsed="false">
      <c r="A252" s="18" t="s">
        <v>306</v>
      </c>
      <c r="B252" s="19" t="n">
        <v>45495</v>
      </c>
      <c r="C252" s="18" t="s">
        <v>39</v>
      </c>
      <c r="D252" s="18" t="s">
        <v>49</v>
      </c>
      <c r="E252" s="18" t="s">
        <v>50</v>
      </c>
      <c r="F252" s="20" t="n">
        <v>819</v>
      </c>
      <c r="G252" s="20" t="n">
        <v>242.42</v>
      </c>
      <c r="H252" s="18" t="n">
        <v>9</v>
      </c>
      <c r="I252" s="20" t="n">
        <f aca="false">F252</f>
        <v>819</v>
      </c>
      <c r="J252" s="22" t="n">
        <f aca="false">IFERROR(G252/F252,0)</f>
        <v>0.295995115995116</v>
      </c>
      <c r="K252" s="23" t="n">
        <f aca="false">MONTH(B252)</f>
        <v>7</v>
      </c>
    </row>
    <row r="253" customFormat="false" ht="15" hidden="false" customHeight="true" outlineLevel="0" collapsed="false">
      <c r="A253" s="18" t="s">
        <v>307</v>
      </c>
      <c r="B253" s="19" t="n">
        <v>45527</v>
      </c>
      <c r="C253" s="18" t="s">
        <v>41</v>
      </c>
      <c r="D253" s="18" t="s">
        <v>52</v>
      </c>
      <c r="E253" s="18" t="s">
        <v>32</v>
      </c>
      <c r="F253" s="20" t="n">
        <v>13245</v>
      </c>
      <c r="G253" s="20" t="n">
        <v>1668.87</v>
      </c>
      <c r="H253" s="18" t="n">
        <v>3</v>
      </c>
      <c r="I253" s="20" t="n">
        <f aca="false">F253</f>
        <v>13245</v>
      </c>
      <c r="J253" s="22" t="n">
        <f aca="false">IFERROR(G253/F253,0)</f>
        <v>0.126</v>
      </c>
      <c r="K253" s="23" t="n">
        <f aca="false">MONTH(B253)</f>
        <v>8</v>
      </c>
    </row>
    <row r="254" customFormat="false" ht="15" hidden="false" customHeight="true" outlineLevel="0" collapsed="false">
      <c r="A254" s="18" t="s">
        <v>308</v>
      </c>
      <c r="B254" s="19" t="n">
        <v>45342</v>
      </c>
      <c r="C254" s="18" t="s">
        <v>19</v>
      </c>
      <c r="D254" s="18" t="s">
        <v>42</v>
      </c>
      <c r="E254" s="18" t="s">
        <v>21</v>
      </c>
      <c r="F254" s="20" t="n">
        <v>146124</v>
      </c>
      <c r="G254" s="20" t="n">
        <v>27325.19</v>
      </c>
      <c r="H254" s="18" t="n">
        <v>9</v>
      </c>
      <c r="I254" s="20" t="n">
        <f aca="false">F254</f>
        <v>146124</v>
      </c>
      <c r="J254" s="22" t="n">
        <f aca="false">IFERROR(G254/F254,0)</f>
        <v>0.187000013687006</v>
      </c>
      <c r="K254" s="23" t="n">
        <f aca="false">MONTH(B254)</f>
        <v>2</v>
      </c>
    </row>
    <row r="255" customFormat="false" ht="15" hidden="false" customHeight="true" outlineLevel="0" collapsed="false">
      <c r="A255" s="18" t="s">
        <v>309</v>
      </c>
      <c r="B255" s="19" t="n">
        <v>45345</v>
      </c>
      <c r="C255" s="18" t="s">
        <v>23</v>
      </c>
      <c r="D255" s="18" t="s">
        <v>91</v>
      </c>
      <c r="E255" s="18" t="s">
        <v>25</v>
      </c>
      <c r="F255" s="20" t="n">
        <v>16820</v>
      </c>
      <c r="G255" s="20" t="n">
        <v>3481.74</v>
      </c>
      <c r="H255" s="18" t="n">
        <v>10</v>
      </c>
      <c r="I255" s="20" t="n">
        <f aca="false">F255</f>
        <v>16820</v>
      </c>
      <c r="J255" s="22" t="n">
        <f aca="false">IFERROR(G255/F255,0)</f>
        <v>0.207</v>
      </c>
      <c r="K255" s="23" t="n">
        <f aca="false">MONTH(B255)</f>
        <v>2</v>
      </c>
    </row>
    <row r="256" customFormat="false" ht="15" hidden="false" customHeight="true" outlineLevel="0" collapsed="false">
      <c r="A256" s="18" t="s">
        <v>310</v>
      </c>
      <c r="B256" s="19" t="n">
        <v>45403</v>
      </c>
      <c r="C256" s="18" t="s">
        <v>27</v>
      </c>
      <c r="D256" s="18" t="s">
        <v>86</v>
      </c>
      <c r="E256" s="18" t="s">
        <v>21</v>
      </c>
      <c r="F256" s="20" t="n">
        <v>502812</v>
      </c>
      <c r="G256" s="20" t="n">
        <v>86483.66</v>
      </c>
      <c r="H256" s="18" t="n">
        <v>9</v>
      </c>
      <c r="I256" s="20" t="n">
        <f aca="false">F256</f>
        <v>502812</v>
      </c>
      <c r="J256" s="22" t="n">
        <f aca="false">IFERROR(G256/F256,0)</f>
        <v>0.17199999204474</v>
      </c>
      <c r="K256" s="23" t="n">
        <f aca="false">MONTH(B256)</f>
        <v>4</v>
      </c>
    </row>
    <row r="257" customFormat="false" ht="15" hidden="false" customHeight="true" outlineLevel="0" collapsed="false">
      <c r="A257" s="18" t="s">
        <v>311</v>
      </c>
      <c r="B257" s="19" t="n">
        <v>45610</v>
      </c>
      <c r="C257" s="18" t="s">
        <v>23</v>
      </c>
      <c r="D257" s="18" t="s">
        <v>34</v>
      </c>
      <c r="E257" s="18" t="s">
        <v>25</v>
      </c>
      <c r="F257" s="20" t="n">
        <v>3177</v>
      </c>
      <c r="G257" s="20" t="n">
        <v>864.14</v>
      </c>
      <c r="H257" s="18" t="n">
        <v>9</v>
      </c>
      <c r="I257" s="20" t="n">
        <f aca="false">F257</f>
        <v>3177</v>
      </c>
      <c r="J257" s="22" t="n">
        <f aca="false">IFERROR(G257/F257,0)</f>
        <v>0.271998740950582</v>
      </c>
      <c r="K257" s="23" t="n">
        <f aca="false">MONTH(B257)</f>
        <v>11</v>
      </c>
    </row>
    <row r="258" customFormat="false" ht="15" hidden="false" customHeight="true" outlineLevel="0" collapsed="false">
      <c r="A258" s="18" t="s">
        <v>312</v>
      </c>
      <c r="B258" s="19" t="n">
        <v>45330</v>
      </c>
      <c r="C258" s="18" t="s">
        <v>27</v>
      </c>
      <c r="D258" s="18" t="s">
        <v>24</v>
      </c>
      <c r="E258" s="18" t="s">
        <v>25</v>
      </c>
      <c r="F258" s="20" t="n">
        <v>7200</v>
      </c>
      <c r="G258" s="20" t="n">
        <v>1152</v>
      </c>
      <c r="H258" s="18" t="n">
        <v>9</v>
      </c>
      <c r="I258" s="20" t="n">
        <f aca="false">F258</f>
        <v>7200</v>
      </c>
      <c r="J258" s="22" t="n">
        <f aca="false">IFERROR(G258/F258,0)</f>
        <v>0.16</v>
      </c>
      <c r="K258" s="23" t="n">
        <f aca="false">MONTH(B258)</f>
        <v>2</v>
      </c>
    </row>
    <row r="259" customFormat="false" ht="15" hidden="false" customHeight="true" outlineLevel="0" collapsed="false">
      <c r="A259" s="18" t="s">
        <v>313</v>
      </c>
      <c r="B259" s="19" t="n">
        <v>45524</v>
      </c>
      <c r="C259" s="18" t="s">
        <v>23</v>
      </c>
      <c r="D259" s="18" t="s">
        <v>120</v>
      </c>
      <c r="E259" s="18" t="s">
        <v>29</v>
      </c>
      <c r="F259" s="20" t="n">
        <v>11067</v>
      </c>
      <c r="G259" s="20" t="n">
        <v>1848.19</v>
      </c>
      <c r="H259" s="18" t="n">
        <v>1</v>
      </c>
      <c r="I259" s="20" t="n">
        <f aca="false">F259</f>
        <v>11067</v>
      </c>
      <c r="J259" s="22" t="n">
        <f aca="false">IFERROR(G259/F259,0)</f>
        <v>0.167000090358724</v>
      </c>
      <c r="K259" s="23" t="n">
        <f aca="false">MONTH(B259)</f>
        <v>8</v>
      </c>
    </row>
    <row r="260" customFormat="false" ht="15" hidden="false" customHeight="true" outlineLevel="0" collapsed="false">
      <c r="A260" s="18" t="s">
        <v>314</v>
      </c>
      <c r="B260" s="19" t="n">
        <v>45312</v>
      </c>
      <c r="C260" s="18" t="s">
        <v>19</v>
      </c>
      <c r="D260" s="18" t="s">
        <v>20</v>
      </c>
      <c r="E260" s="18" t="s">
        <v>21</v>
      </c>
      <c r="F260" s="20" t="n">
        <v>55708</v>
      </c>
      <c r="G260" s="20" t="n">
        <v>7409.16</v>
      </c>
      <c r="H260" s="18" t="n">
        <v>4</v>
      </c>
      <c r="I260" s="20" t="n">
        <f aca="false">F260</f>
        <v>55708</v>
      </c>
      <c r="J260" s="22" t="n">
        <f aca="false">IFERROR(G260/F260,0)</f>
        <v>0.132999928197027</v>
      </c>
      <c r="K260" s="23" t="n">
        <f aca="false">MONTH(B260)</f>
        <v>1</v>
      </c>
    </row>
    <row r="261" customFormat="false" ht="15" hidden="false" customHeight="true" outlineLevel="0" collapsed="false">
      <c r="A261" s="18" t="s">
        <v>315</v>
      </c>
      <c r="B261" s="19" t="n">
        <v>45566</v>
      </c>
      <c r="C261" s="18" t="s">
        <v>19</v>
      </c>
      <c r="D261" s="18" t="s">
        <v>31</v>
      </c>
      <c r="E261" s="18" t="s">
        <v>32</v>
      </c>
      <c r="F261" s="20" t="n">
        <v>104236</v>
      </c>
      <c r="G261" s="20" t="n">
        <v>10215.13</v>
      </c>
      <c r="H261" s="18" t="n">
        <v>2</v>
      </c>
      <c r="I261" s="20" t="n">
        <f aca="false">F261</f>
        <v>104236</v>
      </c>
      <c r="J261" s="22" t="n">
        <f aca="false">IFERROR(G261/F261,0)</f>
        <v>0.098000019187229</v>
      </c>
      <c r="K261" s="23" t="n">
        <f aca="false">MONTH(B261)</f>
        <v>10</v>
      </c>
    </row>
    <row r="262" customFormat="false" ht="15" hidden="false" customHeight="true" outlineLevel="0" collapsed="false">
      <c r="A262" s="18" t="s">
        <v>316</v>
      </c>
      <c r="B262" s="19" t="n">
        <v>45525</v>
      </c>
      <c r="C262" s="18" t="s">
        <v>39</v>
      </c>
      <c r="D262" s="18" t="s">
        <v>28</v>
      </c>
      <c r="E262" s="18" t="s">
        <v>29</v>
      </c>
      <c r="F262" s="20" t="n">
        <v>38824</v>
      </c>
      <c r="G262" s="20" t="n">
        <v>5745.95</v>
      </c>
      <c r="H262" s="18" t="n">
        <v>8</v>
      </c>
      <c r="I262" s="20" t="n">
        <f aca="false">F262</f>
        <v>38824</v>
      </c>
      <c r="J262" s="22" t="n">
        <f aca="false">IFERROR(G262/F262,0)</f>
        <v>0.147999948485473</v>
      </c>
      <c r="K262" s="23" t="n">
        <f aca="false">MONTH(B262)</f>
        <v>8</v>
      </c>
    </row>
    <row r="263" customFormat="false" ht="15" hidden="false" customHeight="true" outlineLevel="0" collapsed="false">
      <c r="A263" s="18" t="s">
        <v>317</v>
      </c>
      <c r="B263" s="19" t="n">
        <v>45330</v>
      </c>
      <c r="C263" s="18" t="s">
        <v>39</v>
      </c>
      <c r="D263" s="18" t="s">
        <v>44</v>
      </c>
      <c r="E263" s="18" t="s">
        <v>32</v>
      </c>
      <c r="F263" s="20" t="n">
        <v>16893</v>
      </c>
      <c r="G263" s="20" t="n">
        <v>1993.37</v>
      </c>
      <c r="H263" s="18" t="n">
        <v>9</v>
      </c>
      <c r="I263" s="20" t="n">
        <f aca="false">F263</f>
        <v>16893</v>
      </c>
      <c r="J263" s="22" t="n">
        <f aca="false">IFERROR(G263/F263,0)</f>
        <v>0.117999763215533</v>
      </c>
      <c r="K263" s="23" t="n">
        <f aca="false">MONTH(B263)</f>
        <v>2</v>
      </c>
    </row>
    <row r="264" customFormat="false" ht="15" hidden="false" customHeight="true" outlineLevel="0" collapsed="false">
      <c r="A264" s="18" t="s">
        <v>318</v>
      </c>
      <c r="B264" s="19" t="n">
        <v>45367</v>
      </c>
      <c r="C264" s="18" t="s">
        <v>23</v>
      </c>
      <c r="D264" s="18" t="s">
        <v>31</v>
      </c>
      <c r="E264" s="18" t="s">
        <v>32</v>
      </c>
      <c r="F264" s="20" t="n">
        <v>222410</v>
      </c>
      <c r="G264" s="20" t="n">
        <v>39811.39</v>
      </c>
      <c r="H264" s="18" t="n">
        <v>5</v>
      </c>
      <c r="I264" s="20" t="n">
        <f aca="false">F264</f>
        <v>222410</v>
      </c>
      <c r="J264" s="22" t="n">
        <f aca="false">IFERROR(G264/F264,0)</f>
        <v>0.179</v>
      </c>
      <c r="K264" s="23" t="n">
        <f aca="false">MONTH(B264)</f>
        <v>3</v>
      </c>
    </row>
    <row r="265" customFormat="false" ht="15" hidden="false" customHeight="true" outlineLevel="0" collapsed="false">
      <c r="A265" s="18" t="s">
        <v>319</v>
      </c>
      <c r="B265" s="19" t="n">
        <v>45535</v>
      </c>
      <c r="C265" s="18" t="s">
        <v>23</v>
      </c>
      <c r="D265" s="18" t="s">
        <v>93</v>
      </c>
      <c r="E265" s="18" t="s">
        <v>32</v>
      </c>
      <c r="F265" s="20" t="n">
        <v>8881</v>
      </c>
      <c r="G265" s="20" t="n">
        <v>799.29</v>
      </c>
      <c r="H265" s="18" t="n">
        <v>1</v>
      </c>
      <c r="I265" s="20" t="n">
        <f aca="false">F265</f>
        <v>8881</v>
      </c>
      <c r="J265" s="22" t="n">
        <f aca="false">IFERROR(G265/F265,0)</f>
        <v>0.09</v>
      </c>
      <c r="K265" s="23" t="n">
        <f aca="false">MONTH(B265)</f>
        <v>8</v>
      </c>
    </row>
    <row r="266" customFormat="false" ht="15" hidden="false" customHeight="true" outlineLevel="0" collapsed="false">
      <c r="A266" s="18" t="s">
        <v>320</v>
      </c>
      <c r="B266" s="19" t="n">
        <v>45576</v>
      </c>
      <c r="C266" s="18" t="s">
        <v>27</v>
      </c>
      <c r="D266" s="18" t="s">
        <v>93</v>
      </c>
      <c r="E266" s="18" t="s">
        <v>32</v>
      </c>
      <c r="F266" s="20" t="n">
        <v>25444</v>
      </c>
      <c r="G266" s="20" t="n">
        <v>2595.29</v>
      </c>
      <c r="H266" s="18" t="n">
        <v>4</v>
      </c>
      <c r="I266" s="20" t="n">
        <f aca="false">F266</f>
        <v>25444</v>
      </c>
      <c r="J266" s="22" t="n">
        <f aca="false">IFERROR(G266/F266,0)</f>
        <v>0.102000078603993</v>
      </c>
      <c r="K266" s="23" t="n">
        <f aca="false">MONTH(B266)</f>
        <v>10</v>
      </c>
    </row>
    <row r="267" customFormat="false" ht="15" hidden="false" customHeight="true" outlineLevel="0" collapsed="false">
      <c r="A267" s="18" t="s">
        <v>321</v>
      </c>
      <c r="B267" s="19" t="n">
        <v>45400</v>
      </c>
      <c r="C267" s="18" t="s">
        <v>27</v>
      </c>
      <c r="D267" s="18" t="s">
        <v>70</v>
      </c>
      <c r="E267" s="18" t="s">
        <v>21</v>
      </c>
      <c r="F267" s="20" t="n">
        <v>209658</v>
      </c>
      <c r="G267" s="20" t="n">
        <v>49059.97</v>
      </c>
      <c r="H267" s="18" t="n">
        <v>6</v>
      </c>
      <c r="I267" s="20" t="n">
        <f aca="false">F267</f>
        <v>209658</v>
      </c>
      <c r="J267" s="22" t="n">
        <f aca="false">IFERROR(G267/F267,0)</f>
        <v>0.233999990460655</v>
      </c>
      <c r="K267" s="23" t="n">
        <f aca="false">MONTH(B267)</f>
        <v>4</v>
      </c>
    </row>
    <row r="268" customFormat="false" ht="15" hidden="false" customHeight="true" outlineLevel="0" collapsed="false">
      <c r="A268" s="18" t="s">
        <v>322</v>
      </c>
      <c r="B268" s="19" t="n">
        <v>45307</v>
      </c>
      <c r="C268" s="18" t="s">
        <v>41</v>
      </c>
      <c r="D268" s="18" t="s">
        <v>96</v>
      </c>
      <c r="E268" s="18" t="s">
        <v>50</v>
      </c>
      <c r="F268" s="20" t="n">
        <v>553</v>
      </c>
      <c r="G268" s="20" t="n">
        <v>186.36</v>
      </c>
      <c r="H268" s="18" t="n">
        <v>7</v>
      </c>
      <c r="I268" s="20" t="n">
        <f aca="false">F268</f>
        <v>553</v>
      </c>
      <c r="J268" s="22" t="n">
        <f aca="false">IFERROR(G268/F268,0)</f>
        <v>0.336998191681736</v>
      </c>
      <c r="K268" s="23" t="n">
        <f aca="false">MONTH(B268)</f>
        <v>1</v>
      </c>
    </row>
    <row r="269" customFormat="false" ht="15" hidden="false" customHeight="true" outlineLevel="0" collapsed="false">
      <c r="A269" s="18" t="s">
        <v>323</v>
      </c>
      <c r="B269" s="19" t="n">
        <v>45622</v>
      </c>
      <c r="C269" s="18" t="s">
        <v>41</v>
      </c>
      <c r="D269" s="18" t="s">
        <v>86</v>
      </c>
      <c r="E269" s="18" t="s">
        <v>21</v>
      </c>
      <c r="F269" s="20" t="n">
        <v>137488</v>
      </c>
      <c r="G269" s="20" t="n">
        <v>26810.16</v>
      </c>
      <c r="H269" s="18" t="n">
        <v>8</v>
      </c>
      <c r="I269" s="20" t="n">
        <f aca="false">F269</f>
        <v>137488</v>
      </c>
      <c r="J269" s="22" t="n">
        <f aca="false">IFERROR(G269/F269,0)</f>
        <v>0.195</v>
      </c>
      <c r="K269" s="23" t="n">
        <f aca="false">MONTH(B269)</f>
        <v>11</v>
      </c>
    </row>
    <row r="270" customFormat="false" ht="15" hidden="false" customHeight="true" outlineLevel="0" collapsed="false">
      <c r="A270" s="18" t="s">
        <v>324</v>
      </c>
      <c r="B270" s="19" t="n">
        <v>45407</v>
      </c>
      <c r="C270" s="18" t="s">
        <v>19</v>
      </c>
      <c r="D270" s="18" t="s">
        <v>106</v>
      </c>
      <c r="E270" s="18" t="s">
        <v>25</v>
      </c>
      <c r="F270" s="20" t="n">
        <v>8088</v>
      </c>
      <c r="G270" s="20" t="n">
        <v>2693.3</v>
      </c>
      <c r="H270" s="18" t="n">
        <v>3</v>
      </c>
      <c r="I270" s="20" t="n">
        <f aca="false">F270</f>
        <v>8088</v>
      </c>
      <c r="J270" s="22" t="n">
        <f aca="false">IFERROR(G270/F270,0)</f>
        <v>0.332999505440158</v>
      </c>
      <c r="K270" s="23" t="n">
        <f aca="false">MONTH(B270)</f>
        <v>4</v>
      </c>
    </row>
    <row r="271" customFormat="false" ht="15" hidden="false" customHeight="true" outlineLevel="0" collapsed="false">
      <c r="A271" s="18" t="s">
        <v>325</v>
      </c>
      <c r="B271" s="19" t="n">
        <v>45582</v>
      </c>
      <c r="C271" s="18" t="s">
        <v>27</v>
      </c>
      <c r="D271" s="18" t="s">
        <v>34</v>
      </c>
      <c r="E271" s="18" t="s">
        <v>25</v>
      </c>
      <c r="F271" s="20" t="n">
        <v>8811</v>
      </c>
      <c r="G271" s="20" t="n">
        <v>2000.1</v>
      </c>
      <c r="H271" s="18" t="n">
        <v>9</v>
      </c>
      <c r="I271" s="20" t="n">
        <f aca="false">F271</f>
        <v>8811</v>
      </c>
      <c r="J271" s="22" t="n">
        <f aca="false">IFERROR(G271/F271,0)</f>
        <v>0.227000340483487</v>
      </c>
      <c r="K271" s="23" t="n">
        <f aca="false">MONTH(B271)</f>
        <v>10</v>
      </c>
    </row>
    <row r="272" customFormat="false" ht="15" hidden="false" customHeight="true" outlineLevel="0" collapsed="false">
      <c r="A272" s="18" t="s">
        <v>326</v>
      </c>
      <c r="B272" s="19" t="n">
        <v>45344</v>
      </c>
      <c r="C272" s="18" t="s">
        <v>41</v>
      </c>
      <c r="D272" s="18" t="s">
        <v>70</v>
      </c>
      <c r="E272" s="18" t="s">
        <v>21</v>
      </c>
      <c r="F272" s="20" t="n">
        <v>233208</v>
      </c>
      <c r="G272" s="20" t="n">
        <v>37080.07</v>
      </c>
      <c r="H272" s="18" t="n">
        <v>6</v>
      </c>
      <c r="I272" s="20" t="n">
        <f aca="false">F272</f>
        <v>233208</v>
      </c>
      <c r="J272" s="22" t="n">
        <f aca="false">IFERROR(G272/F272,0)</f>
        <v>0.158999991423965</v>
      </c>
      <c r="K272" s="23" t="n">
        <f aca="false">MONTH(B272)</f>
        <v>2</v>
      </c>
    </row>
    <row r="273" customFormat="false" ht="15" hidden="false" customHeight="true" outlineLevel="0" collapsed="false">
      <c r="A273" s="18" t="s">
        <v>327</v>
      </c>
      <c r="B273" s="19" t="n">
        <v>45577</v>
      </c>
      <c r="C273" s="18" t="s">
        <v>23</v>
      </c>
      <c r="D273" s="18" t="s">
        <v>64</v>
      </c>
      <c r="E273" s="18" t="s">
        <v>32</v>
      </c>
      <c r="F273" s="20" t="n">
        <v>52165</v>
      </c>
      <c r="G273" s="20" t="n">
        <v>9024.55</v>
      </c>
      <c r="H273" s="18" t="n">
        <v>1</v>
      </c>
      <c r="I273" s="20" t="n">
        <f aca="false">F273</f>
        <v>52165</v>
      </c>
      <c r="J273" s="22" t="n">
        <f aca="false">IFERROR(G273/F273,0)</f>
        <v>0.173000095849708</v>
      </c>
      <c r="K273" s="23" t="n">
        <f aca="false">MONTH(B273)</f>
        <v>10</v>
      </c>
    </row>
    <row r="274" customFormat="false" ht="15" hidden="false" customHeight="true" outlineLevel="0" collapsed="false">
      <c r="A274" s="18" t="s">
        <v>328</v>
      </c>
      <c r="B274" s="19" t="n">
        <v>45344</v>
      </c>
      <c r="C274" s="18" t="s">
        <v>41</v>
      </c>
      <c r="D274" s="18" t="s">
        <v>28</v>
      </c>
      <c r="E274" s="18" t="s">
        <v>29</v>
      </c>
      <c r="F274" s="20" t="n">
        <v>39594</v>
      </c>
      <c r="G274" s="20" t="n">
        <v>6533.01</v>
      </c>
      <c r="H274" s="18" t="n">
        <v>6</v>
      </c>
      <c r="I274" s="20" t="n">
        <f aca="false">F274</f>
        <v>39594</v>
      </c>
      <c r="J274" s="22" t="n">
        <f aca="false">IFERROR(G274/F274,0)</f>
        <v>0.165</v>
      </c>
      <c r="K274" s="23" t="n">
        <f aca="false">MONTH(B274)</f>
        <v>2</v>
      </c>
    </row>
    <row r="275" customFormat="false" ht="15" hidden="false" customHeight="true" outlineLevel="0" collapsed="false">
      <c r="A275" s="18" t="s">
        <v>329</v>
      </c>
      <c r="B275" s="19" t="n">
        <v>45427</v>
      </c>
      <c r="C275" s="18" t="s">
        <v>41</v>
      </c>
      <c r="D275" s="18" t="s">
        <v>52</v>
      </c>
      <c r="E275" s="18" t="s">
        <v>32</v>
      </c>
      <c r="F275" s="20" t="n">
        <v>43590</v>
      </c>
      <c r="G275" s="20" t="n">
        <v>5012.85</v>
      </c>
      <c r="H275" s="18" t="n">
        <v>10</v>
      </c>
      <c r="I275" s="20" t="n">
        <f aca="false">F275</f>
        <v>43590</v>
      </c>
      <c r="J275" s="22" t="n">
        <f aca="false">IFERROR(G275/F275,0)</f>
        <v>0.115</v>
      </c>
      <c r="K275" s="23" t="n">
        <f aca="false">MONTH(B275)</f>
        <v>5</v>
      </c>
    </row>
    <row r="276" customFormat="false" ht="15" hidden="false" customHeight="true" outlineLevel="0" collapsed="false">
      <c r="A276" s="18" t="s">
        <v>330</v>
      </c>
      <c r="B276" s="19" t="n">
        <v>45371</v>
      </c>
      <c r="C276" s="18" t="s">
        <v>27</v>
      </c>
      <c r="D276" s="18" t="s">
        <v>75</v>
      </c>
      <c r="E276" s="18" t="s">
        <v>29</v>
      </c>
      <c r="F276" s="20" t="n">
        <v>18380</v>
      </c>
      <c r="G276" s="20" t="n">
        <v>2315.88</v>
      </c>
      <c r="H276" s="18" t="n">
        <v>10</v>
      </c>
      <c r="I276" s="20" t="n">
        <f aca="false">F276</f>
        <v>18380</v>
      </c>
      <c r="J276" s="22" t="n">
        <f aca="false">IFERROR(G276/F276,0)</f>
        <v>0.126</v>
      </c>
      <c r="K276" s="23" t="n">
        <f aca="false">MONTH(B276)</f>
        <v>3</v>
      </c>
    </row>
    <row r="277" customFormat="false" ht="15" hidden="false" customHeight="true" outlineLevel="0" collapsed="false">
      <c r="A277" s="18" t="s">
        <v>331</v>
      </c>
      <c r="B277" s="19" t="n">
        <v>45439</v>
      </c>
      <c r="C277" s="18" t="s">
        <v>27</v>
      </c>
      <c r="D277" s="18" t="s">
        <v>36</v>
      </c>
      <c r="E277" s="18" t="s">
        <v>25</v>
      </c>
      <c r="F277" s="20" t="n">
        <v>16200</v>
      </c>
      <c r="G277" s="20" t="n">
        <v>3904.2</v>
      </c>
      <c r="H277" s="18" t="n">
        <v>9</v>
      </c>
      <c r="I277" s="20" t="n">
        <f aca="false">F277</f>
        <v>16200</v>
      </c>
      <c r="J277" s="22" t="n">
        <f aca="false">IFERROR(G277/F277,0)</f>
        <v>0.241</v>
      </c>
      <c r="K277" s="23" t="n">
        <f aca="false">MONTH(B277)</f>
        <v>5</v>
      </c>
    </row>
    <row r="278" customFormat="false" ht="15" hidden="false" customHeight="true" outlineLevel="0" collapsed="false">
      <c r="A278" s="18" t="s">
        <v>332</v>
      </c>
      <c r="B278" s="19" t="n">
        <v>45579</v>
      </c>
      <c r="C278" s="18" t="s">
        <v>23</v>
      </c>
      <c r="D278" s="18" t="s">
        <v>75</v>
      </c>
      <c r="E278" s="18" t="s">
        <v>29</v>
      </c>
      <c r="F278" s="20" t="n">
        <v>19800</v>
      </c>
      <c r="G278" s="20" t="n">
        <v>3326.4</v>
      </c>
      <c r="H278" s="18" t="n">
        <v>8</v>
      </c>
      <c r="I278" s="20" t="n">
        <f aca="false">F278</f>
        <v>19800</v>
      </c>
      <c r="J278" s="22" t="n">
        <f aca="false">IFERROR(G278/F278,0)</f>
        <v>0.168</v>
      </c>
      <c r="K278" s="23" t="n">
        <f aca="false">MONTH(B278)</f>
        <v>10</v>
      </c>
    </row>
    <row r="279" customFormat="false" ht="15" hidden="false" customHeight="true" outlineLevel="0" collapsed="false">
      <c r="A279" s="18" t="s">
        <v>333</v>
      </c>
      <c r="B279" s="19" t="n">
        <v>45513</v>
      </c>
      <c r="C279" s="18" t="s">
        <v>39</v>
      </c>
      <c r="D279" s="18" t="s">
        <v>34</v>
      </c>
      <c r="E279" s="18" t="s">
        <v>25</v>
      </c>
      <c r="F279" s="20" t="n">
        <v>10780</v>
      </c>
      <c r="G279" s="20" t="n">
        <v>1800.26</v>
      </c>
      <c r="H279" s="18" t="n">
        <v>10</v>
      </c>
      <c r="I279" s="20" t="n">
        <f aca="false">F279</f>
        <v>10780</v>
      </c>
      <c r="J279" s="22" t="n">
        <f aca="false">IFERROR(G279/F279,0)</f>
        <v>0.167</v>
      </c>
      <c r="K279" s="23" t="n">
        <f aca="false">MONTH(B279)</f>
        <v>8</v>
      </c>
    </row>
    <row r="280" customFormat="false" ht="15" hidden="false" customHeight="true" outlineLevel="0" collapsed="false">
      <c r="A280" s="18" t="s">
        <v>334</v>
      </c>
      <c r="B280" s="19" t="n">
        <v>45447</v>
      </c>
      <c r="C280" s="18" t="s">
        <v>27</v>
      </c>
      <c r="D280" s="18" t="s">
        <v>83</v>
      </c>
      <c r="E280" s="18" t="s">
        <v>21</v>
      </c>
      <c r="F280" s="20" t="n">
        <v>102123</v>
      </c>
      <c r="G280" s="20" t="n">
        <v>18790.63</v>
      </c>
      <c r="H280" s="18" t="n">
        <v>9</v>
      </c>
      <c r="I280" s="20" t="n">
        <f aca="false">F280</f>
        <v>102123</v>
      </c>
      <c r="J280" s="22" t="n">
        <f aca="false">IFERROR(G280/F280,0)</f>
        <v>0.183999980415773</v>
      </c>
      <c r="K280" s="23" t="n">
        <f aca="false">MONTH(B280)</f>
        <v>6</v>
      </c>
    </row>
    <row r="281" customFormat="false" ht="15" hidden="false" customHeight="true" outlineLevel="0" collapsed="false">
      <c r="A281" s="18" t="s">
        <v>335</v>
      </c>
      <c r="B281" s="19" t="n">
        <v>45477</v>
      </c>
      <c r="C281" s="18" t="s">
        <v>19</v>
      </c>
      <c r="D281" s="18" t="s">
        <v>42</v>
      </c>
      <c r="E281" s="18" t="s">
        <v>21</v>
      </c>
      <c r="F281" s="20" t="n">
        <v>7946</v>
      </c>
      <c r="G281" s="20" t="n">
        <v>1859.36</v>
      </c>
      <c r="H281" s="18" t="n">
        <v>1</v>
      </c>
      <c r="I281" s="20" t="n">
        <f aca="false">F281</f>
        <v>7946</v>
      </c>
      <c r="J281" s="22" t="n">
        <f aca="false">IFERROR(G281/F281,0)</f>
        <v>0.233999496602064</v>
      </c>
      <c r="K281" s="23" t="n">
        <f aca="false">MONTH(B281)</f>
        <v>7</v>
      </c>
    </row>
    <row r="282" customFormat="false" ht="15" hidden="false" customHeight="true" outlineLevel="0" collapsed="false">
      <c r="A282" s="18" t="s">
        <v>336</v>
      </c>
      <c r="B282" s="19" t="n">
        <v>45334</v>
      </c>
      <c r="C282" s="18" t="s">
        <v>39</v>
      </c>
      <c r="D282" s="18" t="s">
        <v>83</v>
      </c>
      <c r="E282" s="18" t="s">
        <v>21</v>
      </c>
      <c r="F282" s="20" t="n">
        <v>87280</v>
      </c>
      <c r="G282" s="20" t="n">
        <v>12131.92</v>
      </c>
      <c r="H282" s="18" t="n">
        <v>8</v>
      </c>
      <c r="I282" s="20" t="n">
        <f aca="false">F282</f>
        <v>87280</v>
      </c>
      <c r="J282" s="22" t="n">
        <f aca="false">IFERROR(G282/F282,0)</f>
        <v>0.139</v>
      </c>
      <c r="K282" s="23" t="n">
        <f aca="false">MONTH(B282)</f>
        <v>2</v>
      </c>
    </row>
    <row r="283" customFormat="false" ht="15" hidden="false" customHeight="true" outlineLevel="0" collapsed="false">
      <c r="A283" s="18" t="s">
        <v>337</v>
      </c>
      <c r="B283" s="19" t="n">
        <v>45402</v>
      </c>
      <c r="C283" s="18" t="s">
        <v>19</v>
      </c>
      <c r="D283" s="18" t="s">
        <v>52</v>
      </c>
      <c r="E283" s="18" t="s">
        <v>32</v>
      </c>
      <c r="F283" s="20" t="n">
        <v>7824</v>
      </c>
      <c r="G283" s="20" t="n">
        <v>704.16</v>
      </c>
      <c r="H283" s="18" t="n">
        <v>2</v>
      </c>
      <c r="I283" s="20" t="n">
        <f aca="false">F283</f>
        <v>7824</v>
      </c>
      <c r="J283" s="22" t="n">
        <f aca="false">IFERROR(G283/F283,0)</f>
        <v>0.09</v>
      </c>
      <c r="K283" s="23" t="n">
        <f aca="false">MONTH(B283)</f>
        <v>4</v>
      </c>
    </row>
    <row r="284" customFormat="false" ht="15" hidden="false" customHeight="true" outlineLevel="0" collapsed="false">
      <c r="A284" s="18" t="s">
        <v>338</v>
      </c>
      <c r="B284" s="19" t="n">
        <v>45375</v>
      </c>
      <c r="C284" s="18" t="s">
        <v>19</v>
      </c>
      <c r="D284" s="18" t="s">
        <v>52</v>
      </c>
      <c r="E284" s="18" t="s">
        <v>32</v>
      </c>
      <c r="F284" s="20" t="n">
        <v>10100</v>
      </c>
      <c r="G284" s="20" t="n">
        <v>1747.3</v>
      </c>
      <c r="H284" s="18" t="n">
        <v>10</v>
      </c>
      <c r="I284" s="20" t="n">
        <f aca="false">F284</f>
        <v>10100</v>
      </c>
      <c r="J284" s="22" t="n">
        <f aca="false">IFERROR(G284/F284,0)</f>
        <v>0.173</v>
      </c>
      <c r="K284" s="23" t="n">
        <f aca="false">MONTH(B284)</f>
        <v>3</v>
      </c>
    </row>
    <row r="285" customFormat="false" ht="15" hidden="false" customHeight="true" outlineLevel="0" collapsed="false">
      <c r="A285" s="18" t="s">
        <v>339</v>
      </c>
      <c r="B285" s="19" t="n">
        <v>45441</v>
      </c>
      <c r="C285" s="18" t="s">
        <v>19</v>
      </c>
      <c r="D285" s="18" t="s">
        <v>46</v>
      </c>
      <c r="E285" s="18" t="s">
        <v>29</v>
      </c>
      <c r="F285" s="20" t="n">
        <v>59640</v>
      </c>
      <c r="G285" s="20" t="n">
        <v>11868.36</v>
      </c>
      <c r="H285" s="18" t="n">
        <v>5</v>
      </c>
      <c r="I285" s="20" t="n">
        <f aca="false">F285</f>
        <v>59640</v>
      </c>
      <c r="J285" s="22" t="n">
        <f aca="false">IFERROR(G285/F285,0)</f>
        <v>0.199</v>
      </c>
      <c r="K285" s="23" t="n">
        <f aca="false">MONTH(B285)</f>
        <v>5</v>
      </c>
    </row>
    <row r="286" customFormat="false" ht="15" hidden="false" customHeight="true" outlineLevel="0" collapsed="false">
      <c r="A286" s="18" t="s">
        <v>340</v>
      </c>
      <c r="B286" s="19" t="n">
        <v>45556</v>
      </c>
      <c r="C286" s="18" t="s">
        <v>39</v>
      </c>
      <c r="D286" s="18" t="s">
        <v>64</v>
      </c>
      <c r="E286" s="18" t="s">
        <v>32</v>
      </c>
      <c r="F286" s="20" t="n">
        <v>364820</v>
      </c>
      <c r="G286" s="20" t="n">
        <v>53263.72</v>
      </c>
      <c r="H286" s="18" t="n">
        <v>10</v>
      </c>
      <c r="I286" s="20" t="n">
        <f aca="false">F286</f>
        <v>364820</v>
      </c>
      <c r="J286" s="22" t="n">
        <f aca="false">IFERROR(G286/F286,0)</f>
        <v>0.146</v>
      </c>
      <c r="K286" s="23" t="n">
        <f aca="false">MONTH(B286)</f>
        <v>9</v>
      </c>
    </row>
    <row r="287" customFormat="false" ht="15" hidden="false" customHeight="true" outlineLevel="0" collapsed="false">
      <c r="A287" s="18" t="s">
        <v>341</v>
      </c>
      <c r="B287" s="19" t="n">
        <v>45344</v>
      </c>
      <c r="C287" s="18" t="s">
        <v>39</v>
      </c>
      <c r="D287" s="18" t="s">
        <v>52</v>
      </c>
      <c r="E287" s="18" t="s">
        <v>32</v>
      </c>
      <c r="F287" s="20" t="n">
        <v>1305</v>
      </c>
      <c r="G287" s="20" t="n">
        <v>212.72</v>
      </c>
      <c r="H287" s="18" t="n">
        <v>1</v>
      </c>
      <c r="I287" s="20" t="n">
        <f aca="false">F287</f>
        <v>1305</v>
      </c>
      <c r="J287" s="22" t="n">
        <f aca="false">IFERROR(G287/F287,0)</f>
        <v>0.163003831417625</v>
      </c>
      <c r="K287" s="23" t="n">
        <f aca="false">MONTH(B287)</f>
        <v>2</v>
      </c>
    </row>
    <row r="288" customFormat="false" ht="15" hidden="false" customHeight="true" outlineLevel="0" collapsed="false">
      <c r="A288" s="18" t="s">
        <v>342</v>
      </c>
      <c r="B288" s="19" t="n">
        <v>45345</v>
      </c>
      <c r="C288" s="18" t="s">
        <v>39</v>
      </c>
      <c r="D288" s="18" t="s">
        <v>72</v>
      </c>
      <c r="E288" s="18" t="s">
        <v>29</v>
      </c>
      <c r="F288" s="20" t="n">
        <v>43267</v>
      </c>
      <c r="G288" s="20" t="n">
        <v>7571.72</v>
      </c>
      <c r="H288" s="18" t="n">
        <v>7</v>
      </c>
      <c r="I288" s="20" t="n">
        <f aca="false">F288</f>
        <v>43267</v>
      </c>
      <c r="J288" s="22" t="n">
        <f aca="false">IFERROR(G288/F288,0)</f>
        <v>0.174999884438487</v>
      </c>
      <c r="K288" s="23" t="n">
        <f aca="false">MONTH(B288)</f>
        <v>2</v>
      </c>
    </row>
    <row r="289" customFormat="false" ht="15" hidden="false" customHeight="true" outlineLevel="0" collapsed="false">
      <c r="A289" s="18" t="s">
        <v>343</v>
      </c>
      <c r="B289" s="19" t="n">
        <v>45519</v>
      </c>
      <c r="C289" s="18" t="s">
        <v>41</v>
      </c>
      <c r="D289" s="18" t="s">
        <v>31</v>
      </c>
      <c r="E289" s="18" t="s">
        <v>32</v>
      </c>
      <c r="F289" s="20" t="n">
        <v>531300</v>
      </c>
      <c r="G289" s="20" t="n">
        <v>48879.6</v>
      </c>
      <c r="H289" s="18" t="n">
        <v>6</v>
      </c>
      <c r="I289" s="20" t="n">
        <f aca="false">F289</f>
        <v>531300</v>
      </c>
      <c r="J289" s="22" t="n">
        <f aca="false">IFERROR(G289/F289,0)</f>
        <v>0.092</v>
      </c>
      <c r="K289" s="23" t="n">
        <f aca="false">MONTH(B289)</f>
        <v>8</v>
      </c>
    </row>
    <row r="290" customFormat="false" ht="15" hidden="false" customHeight="true" outlineLevel="0" collapsed="false">
      <c r="A290" s="18" t="s">
        <v>344</v>
      </c>
      <c r="B290" s="19" t="n">
        <v>45332</v>
      </c>
      <c r="C290" s="18" t="s">
        <v>41</v>
      </c>
      <c r="D290" s="18" t="s">
        <v>91</v>
      </c>
      <c r="E290" s="18" t="s">
        <v>25</v>
      </c>
      <c r="F290" s="20" t="n">
        <v>36336</v>
      </c>
      <c r="G290" s="20" t="n">
        <v>5959.1</v>
      </c>
      <c r="H290" s="18" t="n">
        <v>8</v>
      </c>
      <c r="I290" s="20" t="n">
        <f aca="false">F290</f>
        <v>36336</v>
      </c>
      <c r="J290" s="22" t="n">
        <f aca="false">IFERROR(G290/F290,0)</f>
        <v>0.163999889916336</v>
      </c>
      <c r="K290" s="23" t="n">
        <f aca="false">MONTH(B290)</f>
        <v>2</v>
      </c>
    </row>
    <row r="291" customFormat="false" ht="15" hidden="false" customHeight="true" outlineLevel="0" collapsed="false">
      <c r="A291" s="18" t="s">
        <v>345</v>
      </c>
      <c r="B291" s="19" t="n">
        <v>45574</v>
      </c>
      <c r="C291" s="18" t="s">
        <v>27</v>
      </c>
      <c r="D291" s="18" t="s">
        <v>31</v>
      </c>
      <c r="E291" s="18" t="s">
        <v>32</v>
      </c>
      <c r="F291" s="20" t="n">
        <v>69695</v>
      </c>
      <c r="G291" s="20" t="n">
        <v>10593.64</v>
      </c>
      <c r="H291" s="18" t="n">
        <v>1</v>
      </c>
      <c r="I291" s="20" t="n">
        <f aca="false">F291</f>
        <v>69695</v>
      </c>
      <c r="J291" s="22" t="n">
        <f aca="false">IFERROR(G291/F291,0)</f>
        <v>0.152</v>
      </c>
      <c r="K291" s="23" t="n">
        <f aca="false">MONTH(B291)</f>
        <v>10</v>
      </c>
    </row>
    <row r="292" customFormat="false" ht="15" hidden="false" customHeight="true" outlineLevel="0" collapsed="false">
      <c r="A292" s="18" t="s">
        <v>346</v>
      </c>
      <c r="B292" s="19" t="n">
        <v>45446</v>
      </c>
      <c r="C292" s="18" t="s">
        <v>39</v>
      </c>
      <c r="D292" s="18" t="s">
        <v>88</v>
      </c>
      <c r="E292" s="18" t="s">
        <v>50</v>
      </c>
      <c r="F292" s="20" t="n">
        <v>832</v>
      </c>
      <c r="G292" s="20" t="n">
        <v>205.5</v>
      </c>
      <c r="H292" s="18" t="n">
        <v>8</v>
      </c>
      <c r="I292" s="20" t="n">
        <f aca="false">F292</f>
        <v>832</v>
      </c>
      <c r="J292" s="22" t="n">
        <f aca="false">IFERROR(G292/F292,0)</f>
        <v>0.246995192307692</v>
      </c>
      <c r="K292" s="23" t="n">
        <f aca="false">MONTH(B292)</f>
        <v>6</v>
      </c>
    </row>
    <row r="293" customFormat="false" ht="15" hidden="false" customHeight="true" outlineLevel="0" collapsed="false">
      <c r="A293" s="18" t="s">
        <v>347</v>
      </c>
      <c r="B293" s="19" t="n">
        <v>45362</v>
      </c>
      <c r="C293" s="18" t="s">
        <v>41</v>
      </c>
      <c r="D293" s="18" t="s">
        <v>72</v>
      </c>
      <c r="E293" s="18" t="s">
        <v>29</v>
      </c>
      <c r="F293" s="20" t="n">
        <v>34998</v>
      </c>
      <c r="G293" s="20" t="n">
        <v>5774.67</v>
      </c>
      <c r="H293" s="18" t="n">
        <v>3</v>
      </c>
      <c r="I293" s="20" t="n">
        <f aca="false">F293</f>
        <v>34998</v>
      </c>
      <c r="J293" s="22" t="n">
        <f aca="false">IFERROR(G293/F293,0)</f>
        <v>0.165</v>
      </c>
      <c r="K293" s="23" t="n">
        <f aca="false">MONTH(B293)</f>
        <v>3</v>
      </c>
    </row>
    <row r="294" customFormat="false" ht="15" hidden="false" customHeight="true" outlineLevel="0" collapsed="false">
      <c r="A294" s="18" t="s">
        <v>348</v>
      </c>
      <c r="B294" s="19" t="n">
        <v>45300</v>
      </c>
      <c r="C294" s="18" t="s">
        <v>19</v>
      </c>
      <c r="D294" s="18" t="s">
        <v>24</v>
      </c>
      <c r="E294" s="18" t="s">
        <v>25</v>
      </c>
      <c r="F294" s="20" t="n">
        <v>2612</v>
      </c>
      <c r="G294" s="20" t="n">
        <v>517.18</v>
      </c>
      <c r="H294" s="18" t="n">
        <v>2</v>
      </c>
      <c r="I294" s="20" t="n">
        <f aca="false">F294</f>
        <v>2612</v>
      </c>
      <c r="J294" s="22" t="n">
        <f aca="false">IFERROR(G294/F294,0)</f>
        <v>0.198001531393568</v>
      </c>
      <c r="K294" s="23" t="n">
        <f aca="false">MONTH(B294)</f>
        <v>1</v>
      </c>
    </row>
    <row r="295" customFormat="false" ht="15" hidden="false" customHeight="true" outlineLevel="0" collapsed="false">
      <c r="A295" s="18" t="s">
        <v>349</v>
      </c>
      <c r="B295" s="19" t="n">
        <v>45575</v>
      </c>
      <c r="C295" s="18" t="s">
        <v>39</v>
      </c>
      <c r="D295" s="18" t="s">
        <v>20</v>
      </c>
      <c r="E295" s="18" t="s">
        <v>21</v>
      </c>
      <c r="F295" s="20" t="n">
        <v>52904</v>
      </c>
      <c r="G295" s="20" t="n">
        <v>11268.55</v>
      </c>
      <c r="H295" s="18" t="n">
        <v>4</v>
      </c>
      <c r="I295" s="20" t="n">
        <f aca="false">F295</f>
        <v>52904</v>
      </c>
      <c r="J295" s="22" t="n">
        <f aca="false">IFERROR(G295/F295,0)</f>
        <v>0.212999962195675</v>
      </c>
      <c r="K295" s="23" t="n">
        <f aca="false">MONTH(B295)</f>
        <v>10</v>
      </c>
    </row>
    <row r="296" customFormat="false" ht="15" hidden="false" customHeight="true" outlineLevel="0" collapsed="false">
      <c r="A296" s="18" t="s">
        <v>350</v>
      </c>
      <c r="B296" s="19" t="n">
        <v>45486</v>
      </c>
      <c r="C296" s="18" t="s">
        <v>27</v>
      </c>
      <c r="D296" s="18" t="s">
        <v>58</v>
      </c>
      <c r="E296" s="18" t="s">
        <v>50</v>
      </c>
      <c r="F296" s="20" t="n">
        <v>201</v>
      </c>
      <c r="G296" s="20" t="n">
        <v>41.81</v>
      </c>
      <c r="H296" s="18" t="n">
        <v>3</v>
      </c>
      <c r="I296" s="20" t="n">
        <f aca="false">F296</f>
        <v>201</v>
      </c>
      <c r="J296" s="22" t="n">
        <f aca="false">IFERROR(G296/F296,0)</f>
        <v>0.208009950248756</v>
      </c>
      <c r="K296" s="23" t="n">
        <f aca="false">MONTH(B296)</f>
        <v>7</v>
      </c>
    </row>
    <row r="297" customFormat="false" ht="15" hidden="false" customHeight="true" outlineLevel="0" collapsed="false">
      <c r="A297" s="18" t="s">
        <v>351</v>
      </c>
      <c r="B297" s="19" t="n">
        <v>45597</v>
      </c>
      <c r="C297" s="18" t="s">
        <v>41</v>
      </c>
      <c r="D297" s="18" t="s">
        <v>64</v>
      </c>
      <c r="E297" s="18" t="s">
        <v>32</v>
      </c>
      <c r="F297" s="20" t="n">
        <v>60948</v>
      </c>
      <c r="G297" s="20" t="n">
        <v>9446.94</v>
      </c>
      <c r="H297" s="18" t="n">
        <v>3</v>
      </c>
      <c r="I297" s="20" t="n">
        <f aca="false">F297</f>
        <v>60948</v>
      </c>
      <c r="J297" s="22" t="n">
        <f aca="false">IFERROR(G297/F297,0)</f>
        <v>0.155</v>
      </c>
      <c r="K297" s="23" t="n">
        <f aca="false">MONTH(B297)</f>
        <v>11</v>
      </c>
    </row>
    <row r="298" customFormat="false" ht="15" hidden="false" customHeight="true" outlineLevel="0" collapsed="false">
      <c r="A298" s="18" t="s">
        <v>352</v>
      </c>
      <c r="B298" s="19" t="n">
        <v>45412</v>
      </c>
      <c r="C298" s="18" t="s">
        <v>19</v>
      </c>
      <c r="D298" s="18" t="s">
        <v>42</v>
      </c>
      <c r="E298" s="18" t="s">
        <v>21</v>
      </c>
      <c r="F298" s="20" t="n">
        <v>25656</v>
      </c>
      <c r="G298" s="20" t="n">
        <v>3155.69</v>
      </c>
      <c r="H298" s="18" t="n">
        <v>4</v>
      </c>
      <c r="I298" s="20" t="n">
        <f aca="false">F298</f>
        <v>25656</v>
      </c>
      <c r="J298" s="22" t="n">
        <f aca="false">IFERROR(G298/F298,0)</f>
        <v>0.123000077954475</v>
      </c>
      <c r="K298" s="23" t="n">
        <f aca="false">MONTH(B298)</f>
        <v>4</v>
      </c>
    </row>
    <row r="299" customFormat="false" ht="15" hidden="false" customHeight="true" outlineLevel="0" collapsed="false">
      <c r="A299" s="18" t="s">
        <v>353</v>
      </c>
      <c r="B299" s="19" t="n">
        <v>45563</v>
      </c>
      <c r="C299" s="18" t="s">
        <v>39</v>
      </c>
      <c r="D299" s="18" t="s">
        <v>88</v>
      </c>
      <c r="E299" s="18" t="s">
        <v>50</v>
      </c>
      <c r="F299" s="20" t="n">
        <v>1974</v>
      </c>
      <c r="G299" s="20" t="n">
        <v>529.03</v>
      </c>
      <c r="H299" s="18" t="n">
        <v>7</v>
      </c>
      <c r="I299" s="20" t="n">
        <f aca="false">F299</f>
        <v>1974</v>
      </c>
      <c r="J299" s="22" t="n">
        <f aca="false">IFERROR(G299/F299,0)</f>
        <v>0.267998986828774</v>
      </c>
      <c r="K299" s="23" t="n">
        <f aca="false">MONTH(B299)</f>
        <v>9</v>
      </c>
    </row>
    <row r="300" customFormat="false" ht="15" hidden="false" customHeight="true" outlineLevel="0" collapsed="false">
      <c r="A300" s="18" t="s">
        <v>354</v>
      </c>
      <c r="B300" s="19" t="n">
        <v>45626</v>
      </c>
      <c r="C300" s="18" t="s">
        <v>27</v>
      </c>
      <c r="D300" s="18" t="s">
        <v>86</v>
      </c>
      <c r="E300" s="18" t="s">
        <v>21</v>
      </c>
      <c r="F300" s="20" t="n">
        <v>139815</v>
      </c>
      <c r="G300" s="20" t="n">
        <v>32157.45</v>
      </c>
      <c r="H300" s="18" t="n">
        <v>9</v>
      </c>
      <c r="I300" s="20" t="n">
        <f aca="false">F300</f>
        <v>139815</v>
      </c>
      <c r="J300" s="22" t="n">
        <f aca="false">IFERROR(G300/F300,0)</f>
        <v>0.23</v>
      </c>
      <c r="K300" s="23" t="n">
        <f aca="false">MONTH(B300)</f>
        <v>11</v>
      </c>
    </row>
    <row r="301" customFormat="false" ht="15" hidden="false" customHeight="true" outlineLevel="0" collapsed="false">
      <c r="A301" s="18" t="s">
        <v>355</v>
      </c>
      <c r="B301" s="19" t="n">
        <v>45636</v>
      </c>
      <c r="C301" s="18" t="s">
        <v>19</v>
      </c>
      <c r="D301" s="18" t="s">
        <v>91</v>
      </c>
      <c r="E301" s="18" t="s">
        <v>25</v>
      </c>
      <c r="F301" s="20" t="n">
        <v>2821</v>
      </c>
      <c r="G301" s="20" t="n">
        <v>567.02</v>
      </c>
      <c r="H301" s="18" t="n">
        <v>1</v>
      </c>
      <c r="I301" s="20" t="n">
        <f aca="false">F301</f>
        <v>2821</v>
      </c>
      <c r="J301" s="22" t="n">
        <f aca="false">IFERROR(G301/F301,0)</f>
        <v>0.200999645515775</v>
      </c>
      <c r="K301" s="23" t="n">
        <f aca="false">MONTH(B301)</f>
        <v>12</v>
      </c>
    </row>
    <row r="302" customFormat="false" ht="15" hidden="false" customHeight="true" outlineLevel="0" collapsed="false">
      <c r="A302" s="18" t="s">
        <v>356</v>
      </c>
      <c r="B302" s="19" t="n">
        <v>45568</v>
      </c>
      <c r="C302" s="18" t="s">
        <v>41</v>
      </c>
      <c r="D302" s="18" t="s">
        <v>58</v>
      </c>
      <c r="E302" s="18" t="s">
        <v>50</v>
      </c>
      <c r="F302" s="20" t="n">
        <v>452</v>
      </c>
      <c r="G302" s="20" t="n">
        <v>96.73</v>
      </c>
      <c r="H302" s="18" t="n">
        <v>4</v>
      </c>
      <c r="I302" s="20" t="n">
        <f aca="false">F302</f>
        <v>452</v>
      </c>
      <c r="J302" s="22" t="n">
        <f aca="false">IFERROR(G302/F302,0)</f>
        <v>0.214004424778761</v>
      </c>
      <c r="K302" s="23" t="n">
        <f aca="false">MONTH(B302)</f>
        <v>10</v>
      </c>
    </row>
    <row r="303" customFormat="false" ht="15" hidden="false" customHeight="true" outlineLevel="0" collapsed="false">
      <c r="A303" s="18" t="s">
        <v>357</v>
      </c>
      <c r="B303" s="19" t="n">
        <v>45376</v>
      </c>
      <c r="C303" s="18" t="s">
        <v>27</v>
      </c>
      <c r="D303" s="18" t="s">
        <v>62</v>
      </c>
      <c r="E303" s="18" t="s">
        <v>50</v>
      </c>
      <c r="F303" s="20" t="n">
        <v>864</v>
      </c>
      <c r="G303" s="20" t="n">
        <v>193.54</v>
      </c>
      <c r="H303" s="18" t="n">
        <v>6</v>
      </c>
      <c r="I303" s="20" t="n">
        <f aca="false">F303</f>
        <v>864</v>
      </c>
      <c r="J303" s="22" t="n">
        <f aca="false">IFERROR(G303/F303,0)</f>
        <v>0.22400462962963</v>
      </c>
      <c r="K303" s="23" t="n">
        <f aca="false">MONTH(B303)</f>
        <v>3</v>
      </c>
    </row>
    <row r="304" customFormat="false" ht="15" hidden="false" customHeight="true" outlineLevel="0" collapsed="false">
      <c r="A304" s="18" t="s">
        <v>358</v>
      </c>
      <c r="B304" s="19" t="n">
        <v>45376</v>
      </c>
      <c r="C304" s="18" t="s">
        <v>19</v>
      </c>
      <c r="D304" s="18" t="s">
        <v>96</v>
      </c>
      <c r="E304" s="18" t="s">
        <v>50</v>
      </c>
      <c r="F304" s="20" t="n">
        <v>600</v>
      </c>
      <c r="G304" s="20" t="n">
        <v>224.4</v>
      </c>
      <c r="H304" s="18" t="n">
        <v>5</v>
      </c>
      <c r="I304" s="20" t="n">
        <f aca="false">F304</f>
        <v>600</v>
      </c>
      <c r="J304" s="22" t="n">
        <f aca="false">IFERROR(G304/F304,0)</f>
        <v>0.374</v>
      </c>
      <c r="K304" s="23" t="n">
        <f aca="false">MONTH(B304)</f>
        <v>3</v>
      </c>
    </row>
    <row r="305" customFormat="false" ht="15" hidden="false" customHeight="true" outlineLevel="0" collapsed="false">
      <c r="A305" s="18" t="s">
        <v>359</v>
      </c>
      <c r="B305" s="19" t="n">
        <v>45409</v>
      </c>
      <c r="C305" s="18" t="s">
        <v>41</v>
      </c>
      <c r="D305" s="18" t="s">
        <v>28</v>
      </c>
      <c r="E305" s="18" t="s">
        <v>29</v>
      </c>
      <c r="F305" s="20" t="n">
        <v>18660</v>
      </c>
      <c r="G305" s="20" t="n">
        <v>2145.9</v>
      </c>
      <c r="H305" s="18" t="n">
        <v>5</v>
      </c>
      <c r="I305" s="20" t="n">
        <f aca="false">F305</f>
        <v>18660</v>
      </c>
      <c r="J305" s="22" t="n">
        <f aca="false">IFERROR(G305/F305,0)</f>
        <v>0.115</v>
      </c>
      <c r="K305" s="23" t="n">
        <f aca="false">MONTH(B305)</f>
        <v>4</v>
      </c>
    </row>
    <row r="306" customFormat="false" ht="15" hidden="false" customHeight="true" outlineLevel="0" collapsed="false">
      <c r="A306" s="18" t="s">
        <v>360</v>
      </c>
      <c r="B306" s="19" t="n">
        <v>45321</v>
      </c>
      <c r="C306" s="18" t="s">
        <v>23</v>
      </c>
      <c r="D306" s="18" t="s">
        <v>91</v>
      </c>
      <c r="E306" s="18" t="s">
        <v>25</v>
      </c>
      <c r="F306" s="20" t="n">
        <v>13041</v>
      </c>
      <c r="G306" s="20" t="n">
        <v>3912.3</v>
      </c>
      <c r="H306" s="18" t="n">
        <v>9</v>
      </c>
      <c r="I306" s="20" t="n">
        <f aca="false">F306</f>
        <v>13041</v>
      </c>
      <c r="J306" s="22" t="n">
        <f aca="false">IFERROR(G306/F306,0)</f>
        <v>0.3</v>
      </c>
      <c r="K306" s="23" t="n">
        <f aca="false">MONTH(B306)</f>
        <v>1</v>
      </c>
    </row>
    <row r="307" customFormat="false" ht="15" hidden="false" customHeight="true" outlineLevel="0" collapsed="false">
      <c r="A307" s="18" t="s">
        <v>361</v>
      </c>
      <c r="B307" s="19" t="n">
        <v>45494</v>
      </c>
      <c r="C307" s="18" t="s">
        <v>19</v>
      </c>
      <c r="D307" s="18" t="s">
        <v>120</v>
      </c>
      <c r="E307" s="18" t="s">
        <v>29</v>
      </c>
      <c r="F307" s="20" t="n">
        <v>134211</v>
      </c>
      <c r="G307" s="20" t="n">
        <v>24963.25</v>
      </c>
      <c r="H307" s="18" t="n">
        <v>7</v>
      </c>
      <c r="I307" s="20" t="n">
        <f aca="false">F307</f>
        <v>134211</v>
      </c>
      <c r="J307" s="22" t="n">
        <f aca="false">IFERROR(G307/F307,0)</f>
        <v>0.186000029803816</v>
      </c>
      <c r="K307" s="23" t="n">
        <f aca="false">MONTH(B307)</f>
        <v>7</v>
      </c>
    </row>
    <row r="308" customFormat="false" ht="15" hidden="false" customHeight="true" outlineLevel="0" collapsed="false">
      <c r="A308" s="18" t="s">
        <v>362</v>
      </c>
      <c r="B308" s="19" t="n">
        <v>45353</v>
      </c>
      <c r="C308" s="18" t="s">
        <v>23</v>
      </c>
      <c r="D308" s="18" t="s">
        <v>24</v>
      </c>
      <c r="E308" s="18" t="s">
        <v>25</v>
      </c>
      <c r="F308" s="20" t="n">
        <v>1311</v>
      </c>
      <c r="G308" s="20" t="n">
        <v>336.93</v>
      </c>
      <c r="H308" s="18" t="n">
        <v>1</v>
      </c>
      <c r="I308" s="20" t="n">
        <f aca="false">F308</f>
        <v>1311</v>
      </c>
      <c r="J308" s="22" t="n">
        <f aca="false">IFERROR(G308/F308,0)</f>
        <v>0.257002288329519</v>
      </c>
      <c r="K308" s="23" t="n">
        <f aca="false">MONTH(B308)</f>
        <v>3</v>
      </c>
    </row>
    <row r="309" customFormat="false" ht="15" hidden="false" customHeight="true" outlineLevel="0" collapsed="false">
      <c r="A309" s="18" t="s">
        <v>363</v>
      </c>
      <c r="B309" s="19" t="n">
        <v>45622</v>
      </c>
      <c r="C309" s="18" t="s">
        <v>41</v>
      </c>
      <c r="D309" s="18" t="s">
        <v>36</v>
      </c>
      <c r="E309" s="18" t="s">
        <v>25</v>
      </c>
      <c r="F309" s="20" t="n">
        <v>6804</v>
      </c>
      <c r="G309" s="20" t="n">
        <v>1748.63</v>
      </c>
      <c r="H309" s="18" t="n">
        <v>2</v>
      </c>
      <c r="I309" s="20" t="n">
        <f aca="false">F309</f>
        <v>6804</v>
      </c>
      <c r="J309" s="22" t="n">
        <f aca="false">IFERROR(G309/F309,0)</f>
        <v>0.257000293944738</v>
      </c>
      <c r="K309" s="23" t="n">
        <f aca="false">MONTH(B309)</f>
        <v>11</v>
      </c>
    </row>
    <row r="310" customFormat="false" ht="15" hidden="false" customHeight="true" outlineLevel="0" collapsed="false">
      <c r="A310" s="18" t="s">
        <v>364</v>
      </c>
      <c r="B310" s="19" t="n">
        <v>45603</v>
      </c>
      <c r="C310" s="18" t="s">
        <v>39</v>
      </c>
      <c r="D310" s="18" t="s">
        <v>83</v>
      </c>
      <c r="E310" s="18" t="s">
        <v>21</v>
      </c>
      <c r="F310" s="20" t="n">
        <v>56819</v>
      </c>
      <c r="G310" s="20" t="n">
        <v>13977.47</v>
      </c>
      <c r="H310" s="18" t="n">
        <v>7</v>
      </c>
      <c r="I310" s="20" t="n">
        <f aca="false">F310</f>
        <v>56819</v>
      </c>
      <c r="J310" s="22" t="n">
        <f aca="false">IFERROR(G310/F310,0)</f>
        <v>0.245999929601014</v>
      </c>
      <c r="K310" s="23" t="n">
        <f aca="false">MONTH(B310)</f>
        <v>11</v>
      </c>
    </row>
    <row r="311" customFormat="false" ht="15" hidden="false" customHeight="true" outlineLevel="0" collapsed="false">
      <c r="A311" s="18" t="s">
        <v>365</v>
      </c>
      <c r="B311" s="19" t="n">
        <v>45484</v>
      </c>
      <c r="C311" s="18" t="s">
        <v>39</v>
      </c>
      <c r="D311" s="18" t="s">
        <v>36</v>
      </c>
      <c r="E311" s="18" t="s">
        <v>25</v>
      </c>
      <c r="F311" s="20" t="n">
        <v>48411</v>
      </c>
      <c r="G311" s="20" t="n">
        <v>9585.38</v>
      </c>
      <c r="H311" s="18" t="n">
        <v>9</v>
      </c>
      <c r="I311" s="20" t="n">
        <f aca="false">F311</f>
        <v>48411</v>
      </c>
      <c r="J311" s="22" t="n">
        <f aca="false">IFERROR(G311/F311,0)</f>
        <v>0.198000041312925</v>
      </c>
      <c r="K311" s="23" t="n">
        <f aca="false">MONTH(B311)</f>
        <v>7</v>
      </c>
    </row>
    <row r="312" customFormat="false" ht="15" hidden="false" customHeight="true" outlineLevel="0" collapsed="false">
      <c r="A312" s="18" t="s">
        <v>366</v>
      </c>
      <c r="B312" s="19" t="n">
        <v>45353</v>
      </c>
      <c r="C312" s="18" t="s">
        <v>23</v>
      </c>
      <c r="D312" s="18" t="s">
        <v>36</v>
      </c>
      <c r="E312" s="18" t="s">
        <v>25</v>
      </c>
      <c r="F312" s="20" t="n">
        <v>9207</v>
      </c>
      <c r="G312" s="20" t="n">
        <v>1776.95</v>
      </c>
      <c r="H312" s="18" t="n">
        <v>3</v>
      </c>
      <c r="I312" s="20" t="n">
        <f aca="false">F312</f>
        <v>9207</v>
      </c>
      <c r="J312" s="22" t="n">
        <f aca="false">IFERROR(G312/F312,0)</f>
        <v>0.192999891386988</v>
      </c>
      <c r="K312" s="23" t="n">
        <f aca="false">MONTH(B312)</f>
        <v>3</v>
      </c>
    </row>
    <row r="313" customFormat="false" ht="15" hidden="false" customHeight="true" outlineLevel="0" collapsed="false">
      <c r="A313" s="18" t="s">
        <v>367</v>
      </c>
      <c r="B313" s="19" t="n">
        <v>45406</v>
      </c>
      <c r="C313" s="18" t="s">
        <v>23</v>
      </c>
      <c r="D313" s="18" t="s">
        <v>44</v>
      </c>
      <c r="E313" s="18" t="s">
        <v>32</v>
      </c>
      <c r="F313" s="20" t="n">
        <v>23891</v>
      </c>
      <c r="G313" s="20" t="n">
        <v>3655.32</v>
      </c>
      <c r="H313" s="18" t="n">
        <v>7</v>
      </c>
      <c r="I313" s="20" t="n">
        <f aca="false">F313</f>
        <v>23891</v>
      </c>
      <c r="J313" s="22" t="n">
        <f aca="false">IFERROR(G313/F313,0)</f>
        <v>0.152999874429702</v>
      </c>
      <c r="K313" s="23" t="n">
        <f aca="false">MONTH(B313)</f>
        <v>4</v>
      </c>
    </row>
    <row r="314" customFormat="false" ht="15" hidden="false" customHeight="true" outlineLevel="0" collapsed="false">
      <c r="A314" s="18" t="s">
        <v>368</v>
      </c>
      <c r="B314" s="19" t="n">
        <v>45472</v>
      </c>
      <c r="C314" s="18" t="s">
        <v>23</v>
      </c>
      <c r="D314" s="18" t="s">
        <v>49</v>
      </c>
      <c r="E314" s="18" t="s">
        <v>50</v>
      </c>
      <c r="F314" s="20" t="n">
        <v>135</v>
      </c>
      <c r="G314" s="20" t="n">
        <v>29.02</v>
      </c>
      <c r="H314" s="18" t="n">
        <v>5</v>
      </c>
      <c r="I314" s="20" t="n">
        <f aca="false">F314</f>
        <v>135</v>
      </c>
      <c r="J314" s="22" t="n">
        <f aca="false">IFERROR(G314/F314,0)</f>
        <v>0.214962962962963</v>
      </c>
      <c r="K314" s="23" t="n">
        <f aca="false">MONTH(B314)</f>
        <v>6</v>
      </c>
    </row>
    <row r="315" customFormat="false" ht="15" hidden="false" customHeight="true" outlineLevel="0" collapsed="false">
      <c r="A315" s="18" t="s">
        <v>369</v>
      </c>
      <c r="B315" s="19" t="n">
        <v>45517</v>
      </c>
      <c r="C315" s="18" t="s">
        <v>41</v>
      </c>
      <c r="D315" s="18" t="s">
        <v>28</v>
      </c>
      <c r="E315" s="18" t="s">
        <v>29</v>
      </c>
      <c r="F315" s="20" t="n">
        <v>17000</v>
      </c>
      <c r="G315" s="20" t="n">
        <v>2924</v>
      </c>
      <c r="H315" s="18" t="n">
        <v>8</v>
      </c>
      <c r="I315" s="20" t="n">
        <f aca="false">F315</f>
        <v>17000</v>
      </c>
      <c r="J315" s="22" t="n">
        <f aca="false">IFERROR(G315/F315,0)</f>
        <v>0.172</v>
      </c>
      <c r="K315" s="23" t="n">
        <f aca="false">MONTH(B315)</f>
        <v>8</v>
      </c>
    </row>
    <row r="316" customFormat="false" ht="15" hidden="false" customHeight="true" outlineLevel="0" collapsed="false">
      <c r="A316" s="18" t="s">
        <v>370</v>
      </c>
      <c r="B316" s="19" t="n">
        <v>45632</v>
      </c>
      <c r="C316" s="18" t="s">
        <v>19</v>
      </c>
      <c r="D316" s="18" t="s">
        <v>58</v>
      </c>
      <c r="E316" s="18" t="s">
        <v>50</v>
      </c>
      <c r="F316" s="20" t="n">
        <v>351</v>
      </c>
      <c r="G316" s="20" t="n">
        <v>135.13</v>
      </c>
      <c r="H316" s="18" t="n">
        <v>3</v>
      </c>
      <c r="I316" s="20" t="n">
        <f aca="false">F316</f>
        <v>351</v>
      </c>
      <c r="J316" s="22" t="n">
        <f aca="false">IFERROR(G316/F316,0)</f>
        <v>0.384985754985755</v>
      </c>
      <c r="K316" s="23" t="n">
        <f aca="false">MONTH(B316)</f>
        <v>12</v>
      </c>
    </row>
    <row r="317" customFormat="false" ht="15" hidden="false" customHeight="true" outlineLevel="0" collapsed="false">
      <c r="A317" s="18" t="s">
        <v>371</v>
      </c>
      <c r="B317" s="19" t="n">
        <v>45404</v>
      </c>
      <c r="C317" s="18" t="s">
        <v>23</v>
      </c>
      <c r="D317" s="18" t="s">
        <v>24</v>
      </c>
      <c r="E317" s="18" t="s">
        <v>25</v>
      </c>
      <c r="F317" s="20" t="n">
        <v>9282</v>
      </c>
      <c r="G317" s="20" t="n">
        <v>3128.03</v>
      </c>
      <c r="H317" s="18" t="n">
        <v>7</v>
      </c>
      <c r="I317" s="20" t="n">
        <f aca="false">F317</f>
        <v>9282</v>
      </c>
      <c r="J317" s="22" t="n">
        <f aca="false">IFERROR(G317/F317,0)</f>
        <v>0.336999569058393</v>
      </c>
      <c r="K317" s="23" t="n">
        <f aca="false">MONTH(B317)</f>
        <v>4</v>
      </c>
    </row>
    <row r="318" customFormat="false" ht="15" hidden="false" customHeight="true" outlineLevel="0" collapsed="false">
      <c r="A318" s="18" t="s">
        <v>372</v>
      </c>
      <c r="B318" s="19" t="n">
        <v>45481</v>
      </c>
      <c r="C318" s="18" t="s">
        <v>39</v>
      </c>
      <c r="D318" s="18" t="s">
        <v>64</v>
      </c>
      <c r="E318" s="18" t="s">
        <v>32</v>
      </c>
      <c r="F318" s="20" t="n">
        <v>175760</v>
      </c>
      <c r="G318" s="20" t="n">
        <v>30054.96</v>
      </c>
      <c r="H318" s="18" t="n">
        <v>4</v>
      </c>
      <c r="I318" s="20" t="n">
        <f aca="false">F318</f>
        <v>175760</v>
      </c>
      <c r="J318" s="22" t="n">
        <f aca="false">IFERROR(G318/F318,0)</f>
        <v>0.171</v>
      </c>
      <c r="K318" s="23" t="n">
        <f aca="false">MONTH(B318)</f>
        <v>7</v>
      </c>
    </row>
    <row r="319" customFormat="false" ht="15" hidden="false" customHeight="true" outlineLevel="0" collapsed="false">
      <c r="A319" s="18" t="s">
        <v>373</v>
      </c>
      <c r="B319" s="19" t="n">
        <v>45335</v>
      </c>
      <c r="C319" s="18" t="s">
        <v>41</v>
      </c>
      <c r="D319" s="18" t="s">
        <v>91</v>
      </c>
      <c r="E319" s="18" t="s">
        <v>25</v>
      </c>
      <c r="F319" s="20" t="n">
        <v>7878</v>
      </c>
      <c r="G319" s="20" t="n">
        <v>1670.14</v>
      </c>
      <c r="H319" s="18" t="n">
        <v>3</v>
      </c>
      <c r="I319" s="20" t="n">
        <f aca="false">F319</f>
        <v>7878</v>
      </c>
      <c r="J319" s="22" t="n">
        <f aca="false">IFERROR(G319/F319,0)</f>
        <v>0.212000507743082</v>
      </c>
      <c r="K319" s="23" t="n">
        <f aca="false">MONTH(B319)</f>
        <v>2</v>
      </c>
    </row>
    <row r="320" customFormat="false" ht="15" hidden="false" customHeight="true" outlineLevel="0" collapsed="false">
      <c r="A320" s="18" t="s">
        <v>374</v>
      </c>
      <c r="B320" s="19" t="n">
        <v>45531</v>
      </c>
      <c r="C320" s="18" t="s">
        <v>27</v>
      </c>
      <c r="D320" s="18" t="s">
        <v>86</v>
      </c>
      <c r="E320" s="18" t="s">
        <v>21</v>
      </c>
      <c r="F320" s="20" t="n">
        <v>132144</v>
      </c>
      <c r="G320" s="20" t="n">
        <v>17443.01</v>
      </c>
      <c r="H320" s="18" t="n">
        <v>8</v>
      </c>
      <c r="I320" s="20" t="n">
        <f aca="false">F320</f>
        <v>132144</v>
      </c>
      <c r="J320" s="22" t="n">
        <f aca="false">IFERROR(G320/F320,0)</f>
        <v>0.132000015135004</v>
      </c>
      <c r="K320" s="23" t="n">
        <f aca="false">MONTH(B320)</f>
        <v>8</v>
      </c>
    </row>
    <row r="321" customFormat="false" ht="15" hidden="false" customHeight="true" outlineLevel="0" collapsed="false">
      <c r="A321" s="18" t="s">
        <v>375</v>
      </c>
      <c r="B321" s="19" t="n">
        <v>45608</v>
      </c>
      <c r="C321" s="18" t="s">
        <v>39</v>
      </c>
      <c r="D321" s="18" t="s">
        <v>34</v>
      </c>
      <c r="E321" s="18" t="s">
        <v>25</v>
      </c>
      <c r="F321" s="20" t="n">
        <v>2365</v>
      </c>
      <c r="G321" s="20" t="n">
        <v>671.66</v>
      </c>
      <c r="H321" s="18" t="n">
        <v>5</v>
      </c>
      <c r="I321" s="20" t="n">
        <f aca="false">F321</f>
        <v>2365</v>
      </c>
      <c r="J321" s="22" t="n">
        <f aca="false">IFERROR(G321/F321,0)</f>
        <v>0.284</v>
      </c>
      <c r="K321" s="23" t="n">
        <f aca="false">MONTH(B321)</f>
        <v>11</v>
      </c>
    </row>
    <row r="322" customFormat="false" ht="15" hidden="false" customHeight="true" outlineLevel="0" collapsed="false">
      <c r="A322" s="18" t="s">
        <v>376</v>
      </c>
      <c r="B322" s="19" t="n">
        <v>45401</v>
      </c>
      <c r="C322" s="18" t="s">
        <v>19</v>
      </c>
      <c r="D322" s="18" t="s">
        <v>36</v>
      </c>
      <c r="E322" s="18" t="s">
        <v>25</v>
      </c>
      <c r="F322" s="20" t="n">
        <v>24576</v>
      </c>
      <c r="G322" s="20" t="n">
        <v>4792.32</v>
      </c>
      <c r="H322" s="18" t="n">
        <v>8</v>
      </c>
      <c r="I322" s="20" t="n">
        <f aca="false">F322</f>
        <v>24576</v>
      </c>
      <c r="J322" s="22" t="n">
        <f aca="false">IFERROR(G322/F322,0)</f>
        <v>0.195</v>
      </c>
      <c r="K322" s="23" t="n">
        <f aca="false">MONTH(B322)</f>
        <v>4</v>
      </c>
    </row>
    <row r="323" customFormat="false" ht="15" hidden="false" customHeight="true" outlineLevel="0" collapsed="false">
      <c r="A323" s="18" t="s">
        <v>377</v>
      </c>
      <c r="B323" s="19" t="n">
        <v>45477</v>
      </c>
      <c r="C323" s="18" t="s">
        <v>41</v>
      </c>
      <c r="D323" s="18" t="s">
        <v>49</v>
      </c>
      <c r="E323" s="18" t="s">
        <v>50</v>
      </c>
      <c r="F323" s="20" t="n">
        <v>102</v>
      </c>
      <c r="G323" s="20" t="n">
        <v>29.27</v>
      </c>
      <c r="H323" s="18" t="n">
        <v>2</v>
      </c>
      <c r="I323" s="20" t="n">
        <f aca="false">F323</f>
        <v>102</v>
      </c>
      <c r="J323" s="22" t="n">
        <f aca="false">IFERROR(G323/F323,0)</f>
        <v>0.286960784313725</v>
      </c>
      <c r="K323" s="23" t="n">
        <f aca="false">MONTH(B323)</f>
        <v>7</v>
      </c>
    </row>
    <row r="324" customFormat="false" ht="15" hidden="false" customHeight="true" outlineLevel="0" collapsed="false">
      <c r="A324" s="18" t="s">
        <v>378</v>
      </c>
      <c r="B324" s="19" t="n">
        <v>45508</v>
      </c>
      <c r="C324" s="18" t="s">
        <v>23</v>
      </c>
      <c r="D324" s="18" t="s">
        <v>58</v>
      </c>
      <c r="E324" s="18" t="s">
        <v>50</v>
      </c>
      <c r="F324" s="20" t="n">
        <v>76</v>
      </c>
      <c r="G324" s="20" t="n">
        <v>19.91</v>
      </c>
      <c r="H324" s="18" t="n">
        <v>1</v>
      </c>
      <c r="I324" s="20" t="n">
        <f aca="false">F324</f>
        <v>76</v>
      </c>
      <c r="J324" s="22" t="n">
        <f aca="false">IFERROR(G324/F324,0)</f>
        <v>0.261973684210526</v>
      </c>
      <c r="K324" s="23" t="n">
        <f aca="false">MONTH(B324)</f>
        <v>8</v>
      </c>
    </row>
    <row r="325" customFormat="false" ht="15" hidden="false" customHeight="true" outlineLevel="0" collapsed="false">
      <c r="A325" s="18" t="s">
        <v>379</v>
      </c>
      <c r="B325" s="19" t="n">
        <v>45517</v>
      </c>
      <c r="C325" s="18" t="s">
        <v>19</v>
      </c>
      <c r="D325" s="18" t="s">
        <v>44</v>
      </c>
      <c r="E325" s="18" t="s">
        <v>32</v>
      </c>
      <c r="F325" s="20" t="n">
        <v>2968</v>
      </c>
      <c r="G325" s="20" t="n">
        <v>516.43</v>
      </c>
      <c r="H325" s="18" t="n">
        <v>1</v>
      </c>
      <c r="I325" s="20" t="n">
        <f aca="false">F325</f>
        <v>2968</v>
      </c>
      <c r="J325" s="22" t="n">
        <f aca="false">IFERROR(G325/F325,0)</f>
        <v>0.173999326145553</v>
      </c>
      <c r="K325" s="23" t="n">
        <f aca="false">MONTH(B325)</f>
        <v>8</v>
      </c>
    </row>
    <row r="326" customFormat="false" ht="15" hidden="false" customHeight="true" outlineLevel="0" collapsed="false">
      <c r="A326" s="18" t="s">
        <v>380</v>
      </c>
      <c r="B326" s="19" t="n">
        <v>45651</v>
      </c>
      <c r="C326" s="18" t="s">
        <v>41</v>
      </c>
      <c r="D326" s="18" t="s">
        <v>120</v>
      </c>
      <c r="E326" s="18" t="s">
        <v>29</v>
      </c>
      <c r="F326" s="20" t="n">
        <v>44253</v>
      </c>
      <c r="G326" s="20" t="n">
        <v>7655.77</v>
      </c>
      <c r="H326" s="18" t="n">
        <v>3</v>
      </c>
      <c r="I326" s="20" t="n">
        <f aca="false">F326</f>
        <v>44253</v>
      </c>
      <c r="J326" s="22" t="n">
        <f aca="false">IFERROR(G326/F326,0)</f>
        <v>0.173000022597338</v>
      </c>
      <c r="K326" s="23" t="n">
        <f aca="false">MONTH(B326)</f>
        <v>12</v>
      </c>
    </row>
    <row r="327" customFormat="false" ht="15" hidden="false" customHeight="true" outlineLevel="0" collapsed="false">
      <c r="A327" s="18" t="s">
        <v>381</v>
      </c>
      <c r="B327" s="19" t="n">
        <v>45554</v>
      </c>
      <c r="C327" s="18" t="s">
        <v>27</v>
      </c>
      <c r="D327" s="18" t="s">
        <v>62</v>
      </c>
      <c r="E327" s="18" t="s">
        <v>50</v>
      </c>
      <c r="F327" s="20" t="n">
        <v>540</v>
      </c>
      <c r="G327" s="20" t="n">
        <v>168.48</v>
      </c>
      <c r="H327" s="18" t="n">
        <v>10</v>
      </c>
      <c r="I327" s="20" t="n">
        <f aca="false">F327</f>
        <v>540</v>
      </c>
      <c r="J327" s="22" t="n">
        <f aca="false">IFERROR(G327/F327,0)</f>
        <v>0.312</v>
      </c>
      <c r="K327" s="23" t="n">
        <f aca="false">MONTH(B327)</f>
        <v>9</v>
      </c>
    </row>
    <row r="328" customFormat="false" ht="15" hidden="false" customHeight="true" outlineLevel="0" collapsed="false">
      <c r="A328" s="18" t="s">
        <v>382</v>
      </c>
      <c r="B328" s="19" t="n">
        <v>45523</v>
      </c>
      <c r="C328" s="18" t="s">
        <v>23</v>
      </c>
      <c r="D328" s="18" t="s">
        <v>91</v>
      </c>
      <c r="E328" s="18" t="s">
        <v>25</v>
      </c>
      <c r="F328" s="20" t="n">
        <v>20007</v>
      </c>
      <c r="G328" s="20" t="n">
        <v>3381.18</v>
      </c>
      <c r="H328" s="18" t="n">
        <v>9</v>
      </c>
      <c r="I328" s="20" t="n">
        <f aca="false">F328</f>
        <v>20007</v>
      </c>
      <c r="J328" s="22" t="n">
        <f aca="false">IFERROR(G328/F328,0)</f>
        <v>0.168999850052482</v>
      </c>
      <c r="K328" s="23" t="n">
        <f aca="false">MONTH(B328)</f>
        <v>8</v>
      </c>
    </row>
    <row r="329" customFormat="false" ht="15" hidden="false" customHeight="true" outlineLevel="0" collapsed="false">
      <c r="A329" s="18" t="s">
        <v>383</v>
      </c>
      <c r="B329" s="19" t="n">
        <v>45560</v>
      </c>
      <c r="C329" s="18" t="s">
        <v>19</v>
      </c>
      <c r="D329" s="18" t="s">
        <v>106</v>
      </c>
      <c r="E329" s="18" t="s">
        <v>25</v>
      </c>
      <c r="F329" s="20" t="n">
        <v>17304</v>
      </c>
      <c r="G329" s="20" t="n">
        <v>3114.72</v>
      </c>
      <c r="H329" s="18" t="n">
        <v>7</v>
      </c>
      <c r="I329" s="20" t="n">
        <f aca="false">F329</f>
        <v>17304</v>
      </c>
      <c r="J329" s="22" t="n">
        <f aca="false">IFERROR(G329/F329,0)</f>
        <v>0.18</v>
      </c>
      <c r="K329" s="23" t="n">
        <f aca="false">MONTH(B329)</f>
        <v>9</v>
      </c>
    </row>
    <row r="330" customFormat="false" ht="15" hidden="false" customHeight="true" outlineLevel="0" collapsed="false">
      <c r="A330" s="18" t="s">
        <v>384</v>
      </c>
      <c r="B330" s="19" t="n">
        <v>45642</v>
      </c>
      <c r="C330" s="18" t="s">
        <v>27</v>
      </c>
      <c r="D330" s="18" t="s">
        <v>93</v>
      </c>
      <c r="E330" s="18" t="s">
        <v>32</v>
      </c>
      <c r="F330" s="20" t="n">
        <v>30770</v>
      </c>
      <c r="G330" s="20" t="n">
        <v>3015.46</v>
      </c>
      <c r="H330" s="18" t="n">
        <v>10</v>
      </c>
      <c r="I330" s="20" t="n">
        <f aca="false">F330</f>
        <v>30770</v>
      </c>
      <c r="J330" s="22" t="n">
        <f aca="false">IFERROR(G330/F330,0)</f>
        <v>0.098</v>
      </c>
      <c r="K330" s="23" t="n">
        <f aca="false">MONTH(B330)</f>
        <v>12</v>
      </c>
    </row>
    <row r="331" customFormat="false" ht="15" hidden="false" customHeight="true" outlineLevel="0" collapsed="false">
      <c r="A331" s="18" t="s">
        <v>385</v>
      </c>
      <c r="B331" s="19" t="n">
        <v>45393</v>
      </c>
      <c r="C331" s="18" t="s">
        <v>23</v>
      </c>
      <c r="D331" s="18" t="s">
        <v>49</v>
      </c>
      <c r="E331" s="18" t="s">
        <v>50</v>
      </c>
      <c r="F331" s="20" t="n">
        <v>308</v>
      </c>
      <c r="G331" s="20" t="n">
        <v>97.94</v>
      </c>
      <c r="H331" s="18" t="n">
        <v>4</v>
      </c>
      <c r="I331" s="20" t="n">
        <f aca="false">F331</f>
        <v>308</v>
      </c>
      <c r="J331" s="22" t="n">
        <f aca="false">IFERROR(G331/F331,0)</f>
        <v>0.317987012987013</v>
      </c>
      <c r="K331" s="23" t="n">
        <f aca="false">MONTH(B331)</f>
        <v>4</v>
      </c>
    </row>
    <row r="332" customFormat="false" ht="15" hidden="false" customHeight="true" outlineLevel="0" collapsed="false">
      <c r="A332" s="18" t="s">
        <v>386</v>
      </c>
      <c r="B332" s="19" t="n">
        <v>45330</v>
      </c>
      <c r="C332" s="18" t="s">
        <v>41</v>
      </c>
      <c r="D332" s="18" t="s">
        <v>55</v>
      </c>
      <c r="E332" s="18" t="s">
        <v>32</v>
      </c>
      <c r="F332" s="20" t="n">
        <v>164240</v>
      </c>
      <c r="G332" s="20" t="n">
        <v>26442.64</v>
      </c>
      <c r="H332" s="18" t="n">
        <v>4</v>
      </c>
      <c r="I332" s="20" t="n">
        <f aca="false">F332</f>
        <v>164240</v>
      </c>
      <c r="J332" s="22" t="n">
        <f aca="false">IFERROR(G332/F332,0)</f>
        <v>0.161</v>
      </c>
      <c r="K332" s="23" t="n">
        <f aca="false">MONTH(B332)</f>
        <v>2</v>
      </c>
    </row>
    <row r="333" customFormat="false" ht="15" hidden="false" customHeight="true" outlineLevel="0" collapsed="false">
      <c r="A333" s="18" t="s">
        <v>387</v>
      </c>
      <c r="B333" s="19" t="n">
        <v>45382</v>
      </c>
      <c r="C333" s="18" t="s">
        <v>27</v>
      </c>
      <c r="D333" s="18" t="s">
        <v>31</v>
      </c>
      <c r="E333" s="18" t="s">
        <v>32</v>
      </c>
      <c r="F333" s="20" t="n">
        <v>249813</v>
      </c>
      <c r="G333" s="20" t="n">
        <v>42967.84</v>
      </c>
      <c r="H333" s="18" t="n">
        <v>3</v>
      </c>
      <c r="I333" s="20" t="n">
        <f aca="false">F333</f>
        <v>249813</v>
      </c>
      <c r="J333" s="22" t="n">
        <f aca="false">IFERROR(G333/F333,0)</f>
        <v>0.172000016011977</v>
      </c>
      <c r="K333" s="23" t="n">
        <f aca="false">MONTH(B333)</f>
        <v>3</v>
      </c>
    </row>
    <row r="334" customFormat="false" ht="15" hidden="false" customHeight="true" outlineLevel="0" collapsed="false">
      <c r="A334" s="18" t="s">
        <v>388</v>
      </c>
      <c r="B334" s="19" t="n">
        <v>45612</v>
      </c>
      <c r="C334" s="18" t="s">
        <v>23</v>
      </c>
      <c r="D334" s="18" t="s">
        <v>96</v>
      </c>
      <c r="E334" s="18" t="s">
        <v>50</v>
      </c>
      <c r="F334" s="20" t="n">
        <v>148</v>
      </c>
      <c r="G334" s="20" t="n">
        <v>30.34</v>
      </c>
      <c r="H334" s="18" t="n">
        <v>4</v>
      </c>
      <c r="I334" s="20" t="n">
        <f aca="false">F334</f>
        <v>148</v>
      </c>
      <c r="J334" s="22" t="n">
        <f aca="false">IFERROR(G334/F334,0)</f>
        <v>0.205</v>
      </c>
      <c r="K334" s="23" t="n">
        <f aca="false">MONTH(B334)</f>
        <v>11</v>
      </c>
    </row>
    <row r="335" customFormat="false" ht="15" hidden="false" customHeight="true" outlineLevel="0" collapsed="false">
      <c r="A335" s="18" t="s">
        <v>389</v>
      </c>
      <c r="B335" s="19" t="n">
        <v>45641</v>
      </c>
      <c r="C335" s="18" t="s">
        <v>27</v>
      </c>
      <c r="D335" s="18" t="s">
        <v>44</v>
      </c>
      <c r="E335" s="18" t="s">
        <v>32</v>
      </c>
      <c r="F335" s="20" t="n">
        <v>15948</v>
      </c>
      <c r="G335" s="20" t="n">
        <v>2727.11</v>
      </c>
      <c r="H335" s="18" t="n">
        <v>6</v>
      </c>
      <c r="I335" s="20" t="n">
        <f aca="false">F335</f>
        <v>15948</v>
      </c>
      <c r="J335" s="22" t="n">
        <f aca="false">IFERROR(G335/F335,0)</f>
        <v>0.171000125407575</v>
      </c>
      <c r="K335" s="23" t="n">
        <f aca="false">MONTH(B335)</f>
        <v>12</v>
      </c>
    </row>
    <row r="336" customFormat="false" ht="15" hidden="false" customHeight="true" outlineLevel="0" collapsed="false">
      <c r="A336" s="18" t="s">
        <v>390</v>
      </c>
      <c r="B336" s="19" t="n">
        <v>45552</v>
      </c>
      <c r="C336" s="18" t="s">
        <v>39</v>
      </c>
      <c r="D336" s="18" t="s">
        <v>91</v>
      </c>
      <c r="E336" s="18" t="s">
        <v>25</v>
      </c>
      <c r="F336" s="20" t="n">
        <v>16870</v>
      </c>
      <c r="G336" s="20" t="n">
        <v>4706.73</v>
      </c>
      <c r="H336" s="18" t="n">
        <v>7</v>
      </c>
      <c r="I336" s="20" t="n">
        <f aca="false">F336</f>
        <v>16870</v>
      </c>
      <c r="J336" s="22" t="n">
        <f aca="false">IFERROR(G336/F336,0)</f>
        <v>0.279</v>
      </c>
      <c r="K336" s="23" t="n">
        <f aca="false">MONTH(B336)</f>
        <v>9</v>
      </c>
    </row>
    <row r="337" customFormat="false" ht="15" hidden="false" customHeight="true" outlineLevel="0" collapsed="false">
      <c r="A337" s="18" t="s">
        <v>391</v>
      </c>
      <c r="B337" s="19" t="n">
        <v>45602</v>
      </c>
      <c r="C337" s="18" t="s">
        <v>23</v>
      </c>
      <c r="D337" s="18" t="s">
        <v>24</v>
      </c>
      <c r="E337" s="18" t="s">
        <v>25</v>
      </c>
      <c r="F337" s="20" t="n">
        <v>10620</v>
      </c>
      <c r="G337" s="20" t="n">
        <v>3239.1</v>
      </c>
      <c r="H337" s="18" t="n">
        <v>10</v>
      </c>
      <c r="I337" s="20" t="n">
        <f aca="false">F337</f>
        <v>10620</v>
      </c>
      <c r="J337" s="22" t="n">
        <f aca="false">IFERROR(G337/F337,0)</f>
        <v>0.305</v>
      </c>
      <c r="K337" s="23" t="n">
        <f aca="false">MONTH(B337)</f>
        <v>11</v>
      </c>
    </row>
    <row r="338" customFormat="false" ht="15" hidden="false" customHeight="true" outlineLevel="0" collapsed="false">
      <c r="A338" s="18" t="s">
        <v>392</v>
      </c>
      <c r="B338" s="19" t="n">
        <v>45579</v>
      </c>
      <c r="C338" s="18" t="s">
        <v>23</v>
      </c>
      <c r="D338" s="18" t="s">
        <v>83</v>
      </c>
      <c r="E338" s="18" t="s">
        <v>21</v>
      </c>
      <c r="F338" s="20" t="n">
        <v>95190</v>
      </c>
      <c r="G338" s="20" t="n">
        <v>22560.03</v>
      </c>
      <c r="H338" s="18" t="n">
        <v>10</v>
      </c>
      <c r="I338" s="20" t="n">
        <f aca="false">F338</f>
        <v>95190</v>
      </c>
      <c r="J338" s="22" t="n">
        <f aca="false">IFERROR(G338/F338,0)</f>
        <v>0.237</v>
      </c>
      <c r="K338" s="23" t="n">
        <f aca="false">MONTH(B338)</f>
        <v>10</v>
      </c>
    </row>
    <row r="339" customFormat="false" ht="15" hidden="false" customHeight="true" outlineLevel="0" collapsed="false">
      <c r="A339" s="18" t="s">
        <v>393</v>
      </c>
      <c r="B339" s="19" t="n">
        <v>45565</v>
      </c>
      <c r="C339" s="18" t="s">
        <v>23</v>
      </c>
      <c r="D339" s="18" t="s">
        <v>106</v>
      </c>
      <c r="E339" s="18" t="s">
        <v>25</v>
      </c>
      <c r="F339" s="20" t="n">
        <v>6650</v>
      </c>
      <c r="G339" s="20" t="n">
        <v>2048.2</v>
      </c>
      <c r="H339" s="18" t="n">
        <v>7</v>
      </c>
      <c r="I339" s="20" t="n">
        <f aca="false">F339</f>
        <v>6650</v>
      </c>
      <c r="J339" s="22" t="n">
        <f aca="false">IFERROR(G339/F339,0)</f>
        <v>0.308</v>
      </c>
      <c r="K339" s="23" t="n">
        <f aca="false">MONTH(B339)</f>
        <v>9</v>
      </c>
    </row>
    <row r="340" customFormat="false" ht="15" hidden="false" customHeight="true" outlineLevel="0" collapsed="false">
      <c r="A340" s="18" t="s">
        <v>394</v>
      </c>
      <c r="B340" s="19" t="n">
        <v>45437</v>
      </c>
      <c r="C340" s="18" t="s">
        <v>41</v>
      </c>
      <c r="D340" s="18" t="s">
        <v>34</v>
      </c>
      <c r="E340" s="18" t="s">
        <v>25</v>
      </c>
      <c r="F340" s="20" t="n">
        <v>3600</v>
      </c>
      <c r="G340" s="20" t="n">
        <v>914.4</v>
      </c>
      <c r="H340" s="18" t="n">
        <v>5</v>
      </c>
      <c r="I340" s="20" t="n">
        <f aca="false">F340</f>
        <v>3600</v>
      </c>
      <c r="J340" s="22" t="n">
        <f aca="false">IFERROR(G340/F340,0)</f>
        <v>0.254</v>
      </c>
      <c r="K340" s="23" t="n">
        <f aca="false">MONTH(B340)</f>
        <v>5</v>
      </c>
    </row>
    <row r="341" customFormat="false" ht="15" hidden="false" customHeight="true" outlineLevel="0" collapsed="false">
      <c r="A341" s="18" t="s">
        <v>395</v>
      </c>
      <c r="B341" s="19" t="n">
        <v>45543</v>
      </c>
      <c r="C341" s="18" t="s">
        <v>27</v>
      </c>
      <c r="D341" s="18" t="s">
        <v>55</v>
      </c>
      <c r="E341" s="18" t="s">
        <v>32</v>
      </c>
      <c r="F341" s="20" t="n">
        <v>66218</v>
      </c>
      <c r="G341" s="20" t="n">
        <v>9336.74</v>
      </c>
      <c r="H341" s="18" t="n">
        <v>2</v>
      </c>
      <c r="I341" s="20" t="n">
        <f aca="false">F341</f>
        <v>66218</v>
      </c>
      <c r="J341" s="22" t="n">
        <f aca="false">IFERROR(G341/F341,0)</f>
        <v>0.141000030203268</v>
      </c>
      <c r="K341" s="23" t="n">
        <f aca="false">MONTH(B341)</f>
        <v>9</v>
      </c>
    </row>
    <row r="342" customFormat="false" ht="15" hidden="false" customHeight="true" outlineLevel="0" collapsed="false">
      <c r="A342" s="18" t="s">
        <v>396</v>
      </c>
      <c r="B342" s="19" t="n">
        <v>45487</v>
      </c>
      <c r="C342" s="18" t="s">
        <v>23</v>
      </c>
      <c r="D342" s="18" t="s">
        <v>28</v>
      </c>
      <c r="E342" s="18" t="s">
        <v>29</v>
      </c>
      <c r="F342" s="20" t="n">
        <v>28580</v>
      </c>
      <c r="G342" s="20" t="n">
        <v>4315.58</v>
      </c>
      <c r="H342" s="18" t="n">
        <v>5</v>
      </c>
      <c r="I342" s="20" t="n">
        <f aca="false">F342</f>
        <v>28580</v>
      </c>
      <c r="J342" s="22" t="n">
        <f aca="false">IFERROR(G342/F342,0)</f>
        <v>0.151</v>
      </c>
      <c r="K342" s="23" t="n">
        <f aca="false">MONTH(B342)</f>
        <v>7</v>
      </c>
    </row>
    <row r="343" customFormat="false" ht="15" hidden="false" customHeight="true" outlineLevel="0" collapsed="false">
      <c r="A343" s="18" t="s">
        <v>397</v>
      </c>
      <c r="B343" s="19" t="n">
        <v>45550</v>
      </c>
      <c r="C343" s="18" t="s">
        <v>39</v>
      </c>
      <c r="D343" s="18" t="s">
        <v>96</v>
      </c>
      <c r="E343" s="18" t="s">
        <v>50</v>
      </c>
      <c r="F343" s="20" t="n">
        <v>92</v>
      </c>
      <c r="G343" s="20" t="n">
        <v>31.92</v>
      </c>
      <c r="H343" s="18" t="n">
        <v>1</v>
      </c>
      <c r="I343" s="20" t="n">
        <f aca="false">F343</f>
        <v>92</v>
      </c>
      <c r="J343" s="22" t="n">
        <f aca="false">IFERROR(G343/F343,0)</f>
        <v>0.34695652173913</v>
      </c>
      <c r="K343" s="23" t="n">
        <f aca="false">MONTH(B343)</f>
        <v>9</v>
      </c>
    </row>
    <row r="344" customFormat="false" ht="15" hidden="false" customHeight="true" outlineLevel="0" collapsed="false">
      <c r="A344" s="18" t="s">
        <v>398</v>
      </c>
      <c r="B344" s="19" t="n">
        <v>45415</v>
      </c>
      <c r="C344" s="18" t="s">
        <v>27</v>
      </c>
      <c r="D344" s="18" t="s">
        <v>75</v>
      </c>
      <c r="E344" s="18" t="s">
        <v>29</v>
      </c>
      <c r="F344" s="20" t="n">
        <v>21080</v>
      </c>
      <c r="G344" s="20" t="n">
        <v>3773.32</v>
      </c>
      <c r="H344" s="18" t="n">
        <v>8</v>
      </c>
      <c r="I344" s="20" t="n">
        <f aca="false">F344</f>
        <v>21080</v>
      </c>
      <c r="J344" s="22" t="n">
        <f aca="false">IFERROR(G344/F344,0)</f>
        <v>0.179</v>
      </c>
      <c r="K344" s="23" t="n">
        <f aca="false">MONTH(B344)</f>
        <v>5</v>
      </c>
    </row>
    <row r="345" customFormat="false" ht="15" hidden="false" customHeight="true" outlineLevel="0" collapsed="false">
      <c r="A345" s="18" t="s">
        <v>399</v>
      </c>
      <c r="B345" s="19" t="n">
        <v>45512</v>
      </c>
      <c r="C345" s="18" t="s">
        <v>39</v>
      </c>
      <c r="D345" s="18" t="s">
        <v>83</v>
      </c>
      <c r="E345" s="18" t="s">
        <v>21</v>
      </c>
      <c r="F345" s="20" t="n">
        <v>54636</v>
      </c>
      <c r="G345" s="20" t="n">
        <v>9178.85</v>
      </c>
      <c r="H345" s="18" t="n">
        <v>6</v>
      </c>
      <c r="I345" s="20" t="n">
        <f aca="false">F345</f>
        <v>54636</v>
      </c>
      <c r="J345" s="22" t="n">
        <f aca="false">IFERROR(G345/F345,0)</f>
        <v>0.168000036605901</v>
      </c>
      <c r="K345" s="23" t="n">
        <f aca="false">MONTH(B345)</f>
        <v>8</v>
      </c>
    </row>
    <row r="346" customFormat="false" ht="15" hidden="false" customHeight="true" outlineLevel="0" collapsed="false">
      <c r="A346" s="18" t="s">
        <v>400</v>
      </c>
      <c r="B346" s="19" t="n">
        <v>45608</v>
      </c>
      <c r="C346" s="18" t="s">
        <v>23</v>
      </c>
      <c r="D346" s="18" t="s">
        <v>96</v>
      </c>
      <c r="E346" s="18" t="s">
        <v>50</v>
      </c>
      <c r="F346" s="20" t="n">
        <v>1170</v>
      </c>
      <c r="G346" s="20" t="n">
        <v>409.5</v>
      </c>
      <c r="H346" s="18" t="n">
        <v>9</v>
      </c>
      <c r="I346" s="20" t="n">
        <f aca="false">F346</f>
        <v>1170</v>
      </c>
      <c r="J346" s="22" t="n">
        <f aca="false">IFERROR(G346/F346,0)</f>
        <v>0.35</v>
      </c>
      <c r="K346" s="23" t="n">
        <f aca="false">MONTH(B346)</f>
        <v>11</v>
      </c>
    </row>
    <row r="347" customFormat="false" ht="15" hidden="false" customHeight="true" outlineLevel="0" collapsed="false">
      <c r="A347" s="18" t="s">
        <v>401</v>
      </c>
      <c r="B347" s="19" t="n">
        <v>45419</v>
      </c>
      <c r="C347" s="18" t="s">
        <v>27</v>
      </c>
      <c r="D347" s="18" t="s">
        <v>58</v>
      </c>
      <c r="E347" s="18" t="s">
        <v>50</v>
      </c>
      <c r="F347" s="20" t="n">
        <v>343</v>
      </c>
      <c r="G347" s="20" t="n">
        <v>126.22</v>
      </c>
      <c r="H347" s="18" t="n">
        <v>7</v>
      </c>
      <c r="I347" s="20" t="n">
        <f aca="false">F347</f>
        <v>343</v>
      </c>
      <c r="J347" s="22" t="n">
        <f aca="false">IFERROR(G347/F347,0)</f>
        <v>0.36798833819242</v>
      </c>
      <c r="K347" s="23" t="n">
        <f aca="false">MONTH(B347)</f>
        <v>5</v>
      </c>
    </row>
    <row r="348" customFormat="false" ht="15" hidden="false" customHeight="true" outlineLevel="0" collapsed="false">
      <c r="A348" s="18" t="s">
        <v>402</v>
      </c>
      <c r="B348" s="19" t="n">
        <v>45489</v>
      </c>
      <c r="C348" s="18" t="s">
        <v>19</v>
      </c>
      <c r="D348" s="18" t="s">
        <v>83</v>
      </c>
      <c r="E348" s="18" t="s">
        <v>21</v>
      </c>
      <c r="F348" s="20" t="n">
        <v>49630</v>
      </c>
      <c r="G348" s="20" t="n">
        <v>8089.69</v>
      </c>
      <c r="H348" s="18" t="n">
        <v>10</v>
      </c>
      <c r="I348" s="20" t="n">
        <f aca="false">F348</f>
        <v>49630</v>
      </c>
      <c r="J348" s="22" t="n">
        <f aca="false">IFERROR(G348/F348,0)</f>
        <v>0.163</v>
      </c>
      <c r="K348" s="23" t="n">
        <f aca="false">MONTH(B348)</f>
        <v>7</v>
      </c>
    </row>
    <row r="349" customFormat="false" ht="15" hidden="false" customHeight="true" outlineLevel="0" collapsed="false">
      <c r="A349" s="18" t="s">
        <v>403</v>
      </c>
      <c r="B349" s="19" t="n">
        <v>45575</v>
      </c>
      <c r="C349" s="18" t="s">
        <v>27</v>
      </c>
      <c r="D349" s="18" t="s">
        <v>46</v>
      </c>
      <c r="E349" s="18" t="s">
        <v>29</v>
      </c>
      <c r="F349" s="20" t="n">
        <v>94624</v>
      </c>
      <c r="G349" s="20" t="n">
        <v>16843.07</v>
      </c>
      <c r="H349" s="18" t="n">
        <v>8</v>
      </c>
      <c r="I349" s="20" t="n">
        <f aca="false">F349</f>
        <v>94624</v>
      </c>
      <c r="J349" s="22" t="n">
        <f aca="false">IFERROR(G349/F349,0)</f>
        <v>0.177999978863713</v>
      </c>
      <c r="K349" s="23" t="n">
        <f aca="false">MONTH(B349)</f>
        <v>10</v>
      </c>
    </row>
    <row r="350" customFormat="false" ht="15" hidden="false" customHeight="true" outlineLevel="0" collapsed="false">
      <c r="A350" s="18" t="s">
        <v>405</v>
      </c>
      <c r="B350" s="19" t="n">
        <v>45472</v>
      </c>
      <c r="C350" s="18" t="s">
        <v>23</v>
      </c>
      <c r="D350" s="18" t="s">
        <v>70</v>
      </c>
      <c r="E350" s="18" t="s">
        <v>21</v>
      </c>
      <c r="F350" s="20" t="n">
        <v>111630</v>
      </c>
      <c r="G350" s="20" t="n">
        <v>24670.23</v>
      </c>
      <c r="H350" s="18" t="n">
        <v>3</v>
      </c>
      <c r="I350" s="20" t="n">
        <f aca="false">F350</f>
        <v>111630</v>
      </c>
      <c r="J350" s="22" t="n">
        <f aca="false">IFERROR(G350/F350,0)</f>
        <v>0.221</v>
      </c>
      <c r="K350" s="23" t="n">
        <f aca="false">MONTH(B350)</f>
        <v>6</v>
      </c>
    </row>
    <row r="351" customFormat="false" ht="15" hidden="false" customHeight="true" outlineLevel="0" collapsed="false">
      <c r="A351" s="18" t="s">
        <v>406</v>
      </c>
      <c r="B351" s="19" t="n">
        <v>45642</v>
      </c>
      <c r="C351" s="18" t="s">
        <v>19</v>
      </c>
      <c r="D351" s="18" t="s">
        <v>72</v>
      </c>
      <c r="E351" s="18" t="s">
        <v>29</v>
      </c>
      <c r="F351" s="20" t="n">
        <v>55390</v>
      </c>
      <c r="G351" s="20" t="n">
        <v>6536.02</v>
      </c>
      <c r="H351" s="18" t="n">
        <v>10</v>
      </c>
      <c r="I351" s="20" t="n">
        <f aca="false">F351</f>
        <v>55390</v>
      </c>
      <c r="J351" s="22" t="n">
        <f aca="false">IFERROR(G351/F351,0)</f>
        <v>0.118</v>
      </c>
      <c r="K351" s="23" t="n">
        <f aca="false">MONTH(B351)</f>
        <v>12</v>
      </c>
    </row>
    <row r="352" customFormat="false" ht="15" hidden="false" customHeight="true" outlineLevel="0" collapsed="false">
      <c r="A352" s="18" t="s">
        <v>407</v>
      </c>
      <c r="B352" s="19" t="n">
        <v>45568</v>
      </c>
      <c r="C352" s="18" t="s">
        <v>27</v>
      </c>
      <c r="D352" s="18" t="s">
        <v>75</v>
      </c>
      <c r="E352" s="18" t="s">
        <v>29</v>
      </c>
      <c r="F352" s="20" t="n">
        <v>6894</v>
      </c>
      <c r="G352" s="20" t="n">
        <v>958.27</v>
      </c>
      <c r="H352" s="18" t="n">
        <v>3</v>
      </c>
      <c r="I352" s="20" t="n">
        <f aca="false">F352</f>
        <v>6894</v>
      </c>
      <c r="J352" s="22" t="n">
        <f aca="false">IFERROR(G352/F352,0)</f>
        <v>0.139000580214679</v>
      </c>
      <c r="K352" s="23" t="n">
        <f aca="false">MONTH(B352)</f>
        <v>10</v>
      </c>
    </row>
    <row r="353" customFormat="false" ht="15" hidden="false" customHeight="true" outlineLevel="0" collapsed="false">
      <c r="A353" s="18" t="s">
        <v>408</v>
      </c>
      <c r="B353" s="19" t="n">
        <v>45350</v>
      </c>
      <c r="C353" s="18" t="s">
        <v>19</v>
      </c>
      <c r="D353" s="18" t="s">
        <v>36</v>
      </c>
      <c r="E353" s="18" t="s">
        <v>25</v>
      </c>
      <c r="F353" s="20" t="n">
        <v>40545</v>
      </c>
      <c r="G353" s="20" t="n">
        <v>10460.61</v>
      </c>
      <c r="H353" s="18" t="n">
        <v>9</v>
      </c>
      <c r="I353" s="20" t="n">
        <f aca="false">F353</f>
        <v>40545</v>
      </c>
      <c r="J353" s="22" t="n">
        <f aca="false">IFERROR(G353/F353,0)</f>
        <v>0.258</v>
      </c>
      <c r="K353" s="23" t="n">
        <f aca="false">MONTH(B353)</f>
        <v>2</v>
      </c>
    </row>
    <row r="354" customFormat="false" ht="15" hidden="false" customHeight="true" outlineLevel="0" collapsed="false">
      <c r="A354" s="18" t="s">
        <v>409</v>
      </c>
      <c r="B354" s="19" t="n">
        <v>45446</v>
      </c>
      <c r="C354" s="18" t="s">
        <v>27</v>
      </c>
      <c r="D354" s="18" t="s">
        <v>52</v>
      </c>
      <c r="E354" s="18" t="s">
        <v>32</v>
      </c>
      <c r="F354" s="20" t="n">
        <v>3513</v>
      </c>
      <c r="G354" s="20" t="n">
        <v>614.77</v>
      </c>
      <c r="H354" s="18" t="n">
        <v>3</v>
      </c>
      <c r="I354" s="20" t="n">
        <f aca="false">F354</f>
        <v>3513</v>
      </c>
      <c r="J354" s="22" t="n">
        <f aca="false">IFERROR(G354/F354,0)</f>
        <v>0.174998576715058</v>
      </c>
      <c r="K354" s="23" t="n">
        <f aca="false">MONTH(B354)</f>
        <v>6</v>
      </c>
    </row>
    <row r="355" customFormat="false" ht="15" hidden="false" customHeight="true" outlineLevel="0" collapsed="false">
      <c r="A355" s="18" t="s">
        <v>410</v>
      </c>
      <c r="B355" s="19" t="n">
        <v>45540</v>
      </c>
      <c r="C355" s="18" t="s">
        <v>19</v>
      </c>
      <c r="D355" s="18" t="s">
        <v>46</v>
      </c>
      <c r="E355" s="18" t="s">
        <v>29</v>
      </c>
      <c r="F355" s="20" t="n">
        <v>78921</v>
      </c>
      <c r="G355" s="20" t="n">
        <v>10970.02</v>
      </c>
      <c r="H355" s="18" t="n">
        <v>9</v>
      </c>
      <c r="I355" s="20" t="n">
        <f aca="false">F355</f>
        <v>78921</v>
      </c>
      <c r="J355" s="22" t="n">
        <f aca="false">IFERROR(G355/F355,0)</f>
        <v>0.139000012670899</v>
      </c>
      <c r="K355" s="23" t="n">
        <f aca="false">MONTH(B355)</f>
        <v>9</v>
      </c>
    </row>
    <row r="356" customFormat="false" ht="15" hidden="false" customHeight="true" outlineLevel="0" collapsed="false">
      <c r="A356" s="18" t="s">
        <v>411</v>
      </c>
      <c r="B356" s="19" t="n">
        <v>45388</v>
      </c>
      <c r="C356" s="18" t="s">
        <v>23</v>
      </c>
      <c r="D356" s="18" t="s">
        <v>58</v>
      </c>
      <c r="E356" s="18" t="s">
        <v>50</v>
      </c>
      <c r="F356" s="20" t="n">
        <v>1260</v>
      </c>
      <c r="G356" s="20" t="n">
        <v>378</v>
      </c>
      <c r="H356" s="18" t="n">
        <v>10</v>
      </c>
      <c r="I356" s="20" t="n">
        <f aca="false">F356</f>
        <v>1260</v>
      </c>
      <c r="J356" s="22" t="n">
        <f aca="false">IFERROR(G356/F356,0)</f>
        <v>0.3</v>
      </c>
      <c r="K356" s="23" t="n">
        <f aca="false">MONTH(B356)</f>
        <v>4</v>
      </c>
    </row>
    <row r="357" customFormat="false" ht="15" hidden="false" customHeight="true" outlineLevel="0" collapsed="false">
      <c r="A357" s="18" t="s">
        <v>412</v>
      </c>
      <c r="B357" s="19" t="n">
        <v>45636</v>
      </c>
      <c r="C357" s="18" t="s">
        <v>41</v>
      </c>
      <c r="D357" s="18" t="s">
        <v>49</v>
      </c>
      <c r="E357" s="18" t="s">
        <v>50</v>
      </c>
      <c r="F357" s="20" t="n">
        <v>590</v>
      </c>
      <c r="G357" s="20" t="n">
        <v>211.81</v>
      </c>
      <c r="H357" s="18" t="n">
        <v>10</v>
      </c>
      <c r="I357" s="20" t="n">
        <f aca="false">F357</f>
        <v>590</v>
      </c>
      <c r="J357" s="22" t="n">
        <f aca="false">IFERROR(G357/F357,0)</f>
        <v>0.359</v>
      </c>
      <c r="K357" s="23" t="n">
        <f aca="false">MONTH(B357)</f>
        <v>12</v>
      </c>
    </row>
    <row r="358" customFormat="false" ht="15" hidden="false" customHeight="true" outlineLevel="0" collapsed="false">
      <c r="A358" s="18" t="s">
        <v>413</v>
      </c>
      <c r="B358" s="19" t="n">
        <v>45616</v>
      </c>
      <c r="C358" s="18" t="s">
        <v>41</v>
      </c>
      <c r="D358" s="18" t="s">
        <v>88</v>
      </c>
      <c r="E358" s="18" t="s">
        <v>50</v>
      </c>
      <c r="F358" s="20" t="n">
        <v>1728</v>
      </c>
      <c r="G358" s="20" t="n">
        <v>585.79</v>
      </c>
      <c r="H358" s="18" t="n">
        <v>9</v>
      </c>
      <c r="I358" s="20" t="n">
        <f aca="false">F358</f>
        <v>1728</v>
      </c>
      <c r="J358" s="22" t="n">
        <f aca="false">IFERROR(G358/F358,0)</f>
        <v>0.338998842592593</v>
      </c>
      <c r="K358" s="23" t="n">
        <f aca="false">MONTH(B358)</f>
        <v>11</v>
      </c>
    </row>
    <row r="359" customFormat="false" ht="15" hidden="false" customHeight="true" outlineLevel="0" collapsed="false">
      <c r="A359" s="18" t="s">
        <v>414</v>
      </c>
      <c r="B359" s="19" t="n">
        <v>45502</v>
      </c>
      <c r="C359" s="18" t="s">
        <v>23</v>
      </c>
      <c r="D359" s="18" t="s">
        <v>93</v>
      </c>
      <c r="E359" s="18" t="s">
        <v>32</v>
      </c>
      <c r="F359" s="20" t="n">
        <v>149420</v>
      </c>
      <c r="G359" s="20" t="n">
        <v>23458.94</v>
      </c>
      <c r="H359" s="18" t="n">
        <v>10</v>
      </c>
      <c r="I359" s="20" t="n">
        <f aca="false">F359</f>
        <v>149420</v>
      </c>
      <c r="J359" s="22" t="n">
        <f aca="false">IFERROR(G359/F359,0)</f>
        <v>0.157</v>
      </c>
      <c r="K359" s="23" t="n">
        <f aca="false">MONTH(B359)</f>
        <v>7</v>
      </c>
    </row>
    <row r="360" customFormat="false" ht="15" hidden="false" customHeight="true" outlineLevel="0" collapsed="false">
      <c r="A360" s="18" t="s">
        <v>415</v>
      </c>
      <c r="B360" s="19" t="n">
        <v>45477</v>
      </c>
      <c r="C360" s="18" t="s">
        <v>23</v>
      </c>
      <c r="D360" s="18" t="s">
        <v>46</v>
      </c>
      <c r="E360" s="18" t="s">
        <v>29</v>
      </c>
      <c r="F360" s="20" t="n">
        <v>21810</v>
      </c>
      <c r="G360" s="20" t="n">
        <v>3271.5</v>
      </c>
      <c r="H360" s="18" t="n">
        <v>2</v>
      </c>
      <c r="I360" s="20" t="n">
        <f aca="false">F360</f>
        <v>21810</v>
      </c>
      <c r="J360" s="22" t="n">
        <f aca="false">IFERROR(G360/F360,0)</f>
        <v>0.15</v>
      </c>
      <c r="K360" s="23" t="n">
        <f aca="false">MONTH(B360)</f>
        <v>7</v>
      </c>
    </row>
    <row r="361" customFormat="false" ht="15" hidden="false" customHeight="true" outlineLevel="0" collapsed="false">
      <c r="A361" s="18" t="s">
        <v>416</v>
      </c>
      <c r="B361" s="19" t="n">
        <v>45485</v>
      </c>
      <c r="C361" s="18" t="s">
        <v>19</v>
      </c>
      <c r="D361" s="18" t="s">
        <v>46</v>
      </c>
      <c r="E361" s="18" t="s">
        <v>29</v>
      </c>
      <c r="F361" s="20" t="n">
        <v>23930</v>
      </c>
      <c r="G361" s="20" t="n">
        <v>2991.25</v>
      </c>
      <c r="H361" s="18" t="n">
        <v>2</v>
      </c>
      <c r="I361" s="20" t="n">
        <f aca="false">F361</f>
        <v>23930</v>
      </c>
      <c r="J361" s="22" t="n">
        <f aca="false">IFERROR(G361/F361,0)</f>
        <v>0.125</v>
      </c>
      <c r="K361" s="23" t="n">
        <f aca="false">MONTH(B361)</f>
        <v>7</v>
      </c>
    </row>
    <row r="362" customFormat="false" ht="15" hidden="false" customHeight="true" outlineLevel="0" collapsed="false">
      <c r="A362" s="18" t="s">
        <v>417</v>
      </c>
      <c r="B362" s="19" t="n">
        <v>45472</v>
      </c>
      <c r="C362" s="18" t="s">
        <v>27</v>
      </c>
      <c r="D362" s="18" t="s">
        <v>88</v>
      </c>
      <c r="E362" s="18" t="s">
        <v>50</v>
      </c>
      <c r="F362" s="20" t="n">
        <v>1520</v>
      </c>
      <c r="G362" s="20" t="n">
        <v>462.08</v>
      </c>
      <c r="H362" s="18" t="n">
        <v>10</v>
      </c>
      <c r="I362" s="20" t="n">
        <f aca="false">F362</f>
        <v>1520</v>
      </c>
      <c r="J362" s="22" t="n">
        <f aca="false">IFERROR(G362/F362,0)</f>
        <v>0.304</v>
      </c>
      <c r="K362" s="23" t="n">
        <f aca="false">MONTH(B362)</f>
        <v>6</v>
      </c>
    </row>
    <row r="363" customFormat="false" ht="15" hidden="false" customHeight="true" outlineLevel="0" collapsed="false">
      <c r="A363" s="18" t="s">
        <v>418</v>
      </c>
      <c r="B363" s="19" t="n">
        <v>45558</v>
      </c>
      <c r="C363" s="18" t="s">
        <v>41</v>
      </c>
      <c r="D363" s="18" t="s">
        <v>24</v>
      </c>
      <c r="E363" s="18" t="s">
        <v>25</v>
      </c>
      <c r="F363" s="20" t="n">
        <v>8334</v>
      </c>
      <c r="G363" s="20" t="n">
        <v>1941.82</v>
      </c>
      <c r="H363" s="18" t="n">
        <v>9</v>
      </c>
      <c r="I363" s="20" t="n">
        <f aca="false">F363</f>
        <v>8334</v>
      </c>
      <c r="J363" s="22" t="n">
        <f aca="false">IFERROR(G363/F363,0)</f>
        <v>0.232999760019198</v>
      </c>
      <c r="K363" s="23" t="n">
        <f aca="false">MONTH(B363)</f>
        <v>9</v>
      </c>
    </row>
    <row r="364" customFormat="false" ht="15" hidden="false" customHeight="true" outlineLevel="0" collapsed="false">
      <c r="A364" s="18" t="s">
        <v>114</v>
      </c>
      <c r="B364" s="19" t="n">
        <v>45396</v>
      </c>
      <c r="C364" s="18" t="s">
        <v>23</v>
      </c>
      <c r="D364" s="18" t="s">
        <v>64</v>
      </c>
      <c r="E364" s="18" t="s">
        <v>32</v>
      </c>
      <c r="F364" s="20" t="n">
        <v>237966</v>
      </c>
      <c r="G364" s="20" t="n">
        <v>21416.94</v>
      </c>
      <c r="H364" s="18" t="n">
        <v>6</v>
      </c>
      <c r="I364" s="20" t="n">
        <f aca="false">F364</f>
        <v>237966</v>
      </c>
      <c r="J364" s="22" t="n">
        <f aca="false">IFERROR(G364/F364,0)</f>
        <v>0.09</v>
      </c>
      <c r="K364" s="23" t="n">
        <f aca="false">MONTH(B364)</f>
        <v>4</v>
      </c>
    </row>
    <row r="365" customFormat="false" ht="15" hidden="false" customHeight="true" outlineLevel="0" collapsed="false">
      <c r="A365" s="18" t="s">
        <v>419</v>
      </c>
      <c r="B365" s="19" t="n">
        <v>45441</v>
      </c>
      <c r="C365" s="18" t="s">
        <v>23</v>
      </c>
      <c r="D365" s="18" t="s">
        <v>106</v>
      </c>
      <c r="E365" s="18" t="s">
        <v>25</v>
      </c>
      <c r="F365" s="20" t="n">
        <v>12505</v>
      </c>
      <c r="G365" s="20" t="n">
        <v>3964.09</v>
      </c>
      <c r="H365" s="18" t="n">
        <v>5</v>
      </c>
      <c r="I365" s="20" t="n">
        <f aca="false">F365</f>
        <v>12505</v>
      </c>
      <c r="J365" s="22" t="n">
        <f aca="false">IFERROR(G365/F365,0)</f>
        <v>0.317000399840064</v>
      </c>
      <c r="K365" s="23" t="n">
        <f aca="false">MONTH(B365)</f>
        <v>5</v>
      </c>
    </row>
    <row r="366" customFormat="false" ht="15" hidden="false" customHeight="true" outlineLevel="0" collapsed="false">
      <c r="A366" s="18" t="s">
        <v>420</v>
      </c>
      <c r="B366" s="19" t="n">
        <v>45527</v>
      </c>
      <c r="C366" s="18" t="s">
        <v>41</v>
      </c>
      <c r="D366" s="18" t="s">
        <v>70</v>
      </c>
      <c r="E366" s="18" t="s">
        <v>21</v>
      </c>
      <c r="F366" s="20" t="n">
        <v>240660</v>
      </c>
      <c r="G366" s="20" t="n">
        <v>46928.7</v>
      </c>
      <c r="H366" s="18" t="n">
        <v>10</v>
      </c>
      <c r="I366" s="20" t="n">
        <f aca="false">F366</f>
        <v>240660</v>
      </c>
      <c r="J366" s="22" t="n">
        <f aca="false">IFERROR(G366/F366,0)</f>
        <v>0.195</v>
      </c>
      <c r="K366" s="23" t="n">
        <f aca="false">MONTH(B366)</f>
        <v>8</v>
      </c>
    </row>
    <row r="367" customFormat="false" ht="15" hidden="false" customHeight="true" outlineLevel="0" collapsed="false">
      <c r="A367" s="18" t="s">
        <v>421</v>
      </c>
      <c r="B367" s="19" t="n">
        <v>45350</v>
      </c>
      <c r="C367" s="18" t="s">
        <v>27</v>
      </c>
      <c r="D367" s="18" t="s">
        <v>55</v>
      </c>
      <c r="E367" s="18" t="s">
        <v>32</v>
      </c>
      <c r="F367" s="20" t="n">
        <v>80355</v>
      </c>
      <c r="G367" s="20" t="n">
        <v>13338.93</v>
      </c>
      <c r="H367" s="18" t="n">
        <v>3</v>
      </c>
      <c r="I367" s="20" t="n">
        <f aca="false">F367</f>
        <v>80355</v>
      </c>
      <c r="J367" s="22" t="n">
        <f aca="false">IFERROR(G367/F367,0)</f>
        <v>0.166</v>
      </c>
      <c r="K367" s="23" t="n">
        <f aca="false">MONTH(B367)</f>
        <v>2</v>
      </c>
    </row>
    <row r="368" customFormat="false" ht="15" hidden="false" customHeight="true" outlineLevel="0" collapsed="false">
      <c r="A368" s="18" t="s">
        <v>422</v>
      </c>
      <c r="B368" s="19" t="n">
        <v>45376</v>
      </c>
      <c r="C368" s="18" t="s">
        <v>39</v>
      </c>
      <c r="D368" s="18" t="s">
        <v>28</v>
      </c>
      <c r="E368" s="18" t="s">
        <v>29</v>
      </c>
      <c r="F368" s="20" t="n">
        <v>19563</v>
      </c>
      <c r="G368" s="20" t="n">
        <v>2269.31</v>
      </c>
      <c r="H368" s="18" t="n">
        <v>3</v>
      </c>
      <c r="I368" s="20" t="n">
        <f aca="false">F368</f>
        <v>19563</v>
      </c>
      <c r="J368" s="22" t="n">
        <f aca="false">IFERROR(G368/F368,0)</f>
        <v>0.116000102233809</v>
      </c>
      <c r="K368" s="23" t="n">
        <f aca="false">MONTH(B368)</f>
        <v>3</v>
      </c>
    </row>
    <row r="369" customFormat="false" ht="15" hidden="false" customHeight="true" outlineLevel="0" collapsed="false">
      <c r="A369" s="18" t="s">
        <v>423</v>
      </c>
      <c r="B369" s="19" t="n">
        <v>45339</v>
      </c>
      <c r="C369" s="18" t="s">
        <v>19</v>
      </c>
      <c r="D369" s="18" t="s">
        <v>52</v>
      </c>
      <c r="E369" s="18" t="s">
        <v>32</v>
      </c>
      <c r="F369" s="20" t="n">
        <v>4576</v>
      </c>
      <c r="G369" s="20" t="n">
        <v>388.96</v>
      </c>
      <c r="H369" s="18" t="n">
        <v>1</v>
      </c>
      <c r="I369" s="20" t="n">
        <f aca="false">F369</f>
        <v>4576</v>
      </c>
      <c r="J369" s="22" t="n">
        <f aca="false">IFERROR(G369/F369,0)</f>
        <v>0.085</v>
      </c>
      <c r="K369" s="23" t="n">
        <f aca="false">MONTH(B369)</f>
        <v>2</v>
      </c>
    </row>
    <row r="370" customFormat="false" ht="15" hidden="false" customHeight="true" outlineLevel="0" collapsed="false">
      <c r="A370" s="18" t="s">
        <v>424</v>
      </c>
      <c r="B370" s="19" t="n">
        <v>45372</v>
      </c>
      <c r="C370" s="18" t="s">
        <v>19</v>
      </c>
      <c r="D370" s="18" t="s">
        <v>120</v>
      </c>
      <c r="E370" s="18" t="s">
        <v>29</v>
      </c>
      <c r="F370" s="20" t="n">
        <v>33662</v>
      </c>
      <c r="G370" s="20" t="n">
        <v>4140.43</v>
      </c>
      <c r="H370" s="18" t="n">
        <v>2</v>
      </c>
      <c r="I370" s="20" t="n">
        <f aca="false">F370</f>
        <v>33662</v>
      </c>
      <c r="J370" s="22" t="n">
        <f aca="false">IFERROR(G370/F370,0)</f>
        <v>0.123000118828352</v>
      </c>
      <c r="K370" s="23" t="n">
        <f aca="false">MONTH(B370)</f>
        <v>3</v>
      </c>
    </row>
    <row r="371" customFormat="false" ht="15" hidden="false" customHeight="true" outlineLevel="0" collapsed="false">
      <c r="A371" s="18" t="s">
        <v>425</v>
      </c>
      <c r="B371" s="19" t="n">
        <v>45319</v>
      </c>
      <c r="C371" s="18" t="s">
        <v>23</v>
      </c>
      <c r="D371" s="18" t="s">
        <v>62</v>
      </c>
      <c r="E371" s="18" t="s">
        <v>50</v>
      </c>
      <c r="F371" s="20" t="n">
        <v>522</v>
      </c>
      <c r="G371" s="20" t="n">
        <v>134.68</v>
      </c>
      <c r="H371" s="18" t="n">
        <v>9</v>
      </c>
      <c r="I371" s="20" t="n">
        <f aca="false">F371</f>
        <v>522</v>
      </c>
      <c r="J371" s="22" t="n">
        <f aca="false">IFERROR(G371/F371,0)</f>
        <v>0.258007662835249</v>
      </c>
      <c r="K371" s="23" t="n">
        <f aca="false">MONTH(B371)</f>
        <v>1</v>
      </c>
    </row>
    <row r="372" customFormat="false" ht="15" hidden="false" customHeight="true" outlineLevel="0" collapsed="false">
      <c r="A372" s="18" t="s">
        <v>426</v>
      </c>
      <c r="B372" s="19" t="n">
        <v>45354</v>
      </c>
      <c r="C372" s="18" t="s">
        <v>27</v>
      </c>
      <c r="D372" s="18" t="s">
        <v>55</v>
      </c>
      <c r="E372" s="18" t="s">
        <v>32</v>
      </c>
      <c r="F372" s="20" t="n">
        <v>53596</v>
      </c>
      <c r="G372" s="20" t="n">
        <v>4555.66</v>
      </c>
      <c r="H372" s="18" t="n">
        <v>4</v>
      </c>
      <c r="I372" s="20" t="n">
        <f aca="false">F372</f>
        <v>53596</v>
      </c>
      <c r="J372" s="22" t="n">
        <f aca="false">IFERROR(G372/F372,0)</f>
        <v>0.085</v>
      </c>
      <c r="K372" s="23" t="n">
        <f aca="false">MONTH(B372)</f>
        <v>3</v>
      </c>
    </row>
    <row r="373" customFormat="false" ht="15" hidden="false" customHeight="true" outlineLevel="0" collapsed="false">
      <c r="A373" s="18" t="s">
        <v>427</v>
      </c>
      <c r="B373" s="19" t="n">
        <v>45574</v>
      </c>
      <c r="C373" s="18" t="s">
        <v>23</v>
      </c>
      <c r="D373" s="18" t="s">
        <v>44</v>
      </c>
      <c r="E373" s="18" t="s">
        <v>32</v>
      </c>
      <c r="F373" s="20" t="n">
        <v>13332</v>
      </c>
      <c r="G373" s="20" t="n">
        <v>1733.16</v>
      </c>
      <c r="H373" s="18" t="n">
        <v>3</v>
      </c>
      <c r="I373" s="20" t="n">
        <f aca="false">F373</f>
        <v>13332</v>
      </c>
      <c r="J373" s="22" t="n">
        <f aca="false">IFERROR(G373/F373,0)</f>
        <v>0.13</v>
      </c>
      <c r="K373" s="23" t="n">
        <f aca="false">MONTH(B373)</f>
        <v>10</v>
      </c>
    </row>
    <row r="374" customFormat="false" ht="15" hidden="false" customHeight="true" outlineLevel="0" collapsed="false">
      <c r="A374" s="18" t="s">
        <v>428</v>
      </c>
      <c r="B374" s="19" t="n">
        <v>45523</v>
      </c>
      <c r="C374" s="18" t="s">
        <v>39</v>
      </c>
      <c r="D374" s="18" t="s">
        <v>93</v>
      </c>
      <c r="E374" s="18" t="s">
        <v>32</v>
      </c>
      <c r="F374" s="20" t="n">
        <v>79597</v>
      </c>
      <c r="G374" s="20" t="n">
        <v>11939.55</v>
      </c>
      <c r="H374" s="18" t="n">
        <v>7</v>
      </c>
      <c r="I374" s="20" t="n">
        <f aca="false">F374</f>
        <v>79597</v>
      </c>
      <c r="J374" s="22" t="n">
        <f aca="false">IFERROR(G374/F374,0)</f>
        <v>0.15</v>
      </c>
      <c r="K374" s="23" t="n">
        <f aca="false">MONTH(B374)</f>
        <v>8</v>
      </c>
    </row>
    <row r="375" customFormat="false" ht="15" hidden="false" customHeight="true" outlineLevel="0" collapsed="false">
      <c r="A375" s="18" t="s">
        <v>429</v>
      </c>
      <c r="B375" s="19" t="n">
        <v>45351</v>
      </c>
      <c r="C375" s="18" t="s">
        <v>27</v>
      </c>
      <c r="D375" s="18" t="s">
        <v>62</v>
      </c>
      <c r="E375" s="18" t="s">
        <v>50</v>
      </c>
      <c r="F375" s="20" t="n">
        <v>497</v>
      </c>
      <c r="G375" s="20" t="n">
        <v>153.57</v>
      </c>
      <c r="H375" s="18" t="n">
        <v>7</v>
      </c>
      <c r="I375" s="20" t="n">
        <f aca="false">F375</f>
        <v>497</v>
      </c>
      <c r="J375" s="22" t="n">
        <f aca="false">IFERROR(G375/F375,0)</f>
        <v>0.308993963782696</v>
      </c>
      <c r="K375" s="23" t="n">
        <f aca="false">MONTH(B375)</f>
        <v>2</v>
      </c>
    </row>
    <row r="376" customFormat="false" ht="15" hidden="false" customHeight="true" outlineLevel="0" collapsed="false">
      <c r="A376" s="18" t="s">
        <v>430</v>
      </c>
      <c r="B376" s="19" t="n">
        <v>45395</v>
      </c>
      <c r="C376" s="18" t="s">
        <v>23</v>
      </c>
      <c r="D376" s="18" t="s">
        <v>36</v>
      </c>
      <c r="E376" s="18" t="s">
        <v>25</v>
      </c>
      <c r="F376" s="20" t="n">
        <v>26776</v>
      </c>
      <c r="G376" s="20" t="n">
        <v>8889.63</v>
      </c>
      <c r="H376" s="18" t="n">
        <v>8</v>
      </c>
      <c r="I376" s="20" t="n">
        <f aca="false">F376</f>
        <v>26776</v>
      </c>
      <c r="J376" s="22" t="n">
        <f aca="false">IFERROR(G376/F376,0)</f>
        <v>0.331999925306244</v>
      </c>
      <c r="K376" s="23" t="n">
        <f aca="false">MONTH(B376)</f>
        <v>4</v>
      </c>
    </row>
    <row r="377" customFormat="false" ht="15" hidden="false" customHeight="true" outlineLevel="0" collapsed="false">
      <c r="A377" s="18" t="s">
        <v>431</v>
      </c>
      <c r="B377" s="19" t="n">
        <v>45501</v>
      </c>
      <c r="C377" s="18" t="s">
        <v>39</v>
      </c>
      <c r="D377" s="18" t="s">
        <v>55</v>
      </c>
      <c r="E377" s="18" t="s">
        <v>32</v>
      </c>
      <c r="F377" s="20" t="n">
        <v>234944</v>
      </c>
      <c r="G377" s="20" t="n">
        <v>26783.62</v>
      </c>
      <c r="H377" s="18" t="n">
        <v>8</v>
      </c>
      <c r="I377" s="20" t="n">
        <f aca="false">F377</f>
        <v>234944</v>
      </c>
      <c r="J377" s="22" t="n">
        <f aca="false">IFERROR(G377/F377,0)</f>
        <v>0.114000017025334</v>
      </c>
      <c r="K377" s="23" t="n">
        <f aca="false">MONTH(B377)</f>
        <v>7</v>
      </c>
    </row>
    <row r="378" customFormat="false" ht="15" hidden="false" customHeight="true" outlineLevel="0" collapsed="false">
      <c r="A378" s="18" t="s">
        <v>432</v>
      </c>
      <c r="B378" s="19" t="n">
        <v>45515</v>
      </c>
      <c r="C378" s="18" t="s">
        <v>41</v>
      </c>
      <c r="D378" s="18" t="s">
        <v>42</v>
      </c>
      <c r="E378" s="18" t="s">
        <v>21</v>
      </c>
      <c r="F378" s="20" t="n">
        <v>147944</v>
      </c>
      <c r="G378" s="20" t="n">
        <v>24410.76</v>
      </c>
      <c r="H378" s="18" t="n">
        <v>8</v>
      </c>
      <c r="I378" s="20" t="n">
        <f aca="false">F378</f>
        <v>147944</v>
      </c>
      <c r="J378" s="22" t="n">
        <f aca="false">IFERROR(G378/F378,0)</f>
        <v>0.165</v>
      </c>
      <c r="K378" s="23" t="n">
        <f aca="false">MONTH(B378)</f>
        <v>8</v>
      </c>
    </row>
    <row r="379" customFormat="false" ht="15" hidden="false" customHeight="true" outlineLevel="0" collapsed="false">
      <c r="A379" s="18" t="s">
        <v>433</v>
      </c>
      <c r="B379" s="19" t="n">
        <v>45406</v>
      </c>
      <c r="C379" s="18" t="s">
        <v>23</v>
      </c>
      <c r="D379" s="18" t="s">
        <v>88</v>
      </c>
      <c r="E379" s="18" t="s">
        <v>50</v>
      </c>
      <c r="F379" s="20" t="n">
        <v>1356</v>
      </c>
      <c r="G379" s="20" t="n">
        <v>402.73</v>
      </c>
      <c r="H379" s="18" t="n">
        <v>6</v>
      </c>
      <c r="I379" s="20" t="n">
        <f aca="false">F379</f>
        <v>1356</v>
      </c>
      <c r="J379" s="22" t="n">
        <f aca="false">IFERROR(G379/F379,0)</f>
        <v>0.296998525073746</v>
      </c>
      <c r="K379" s="23" t="n">
        <f aca="false">MONTH(B379)</f>
        <v>4</v>
      </c>
    </row>
    <row r="380" customFormat="false" ht="15" hidden="false" customHeight="true" outlineLevel="0" collapsed="false">
      <c r="A380" s="18" t="s">
        <v>434</v>
      </c>
      <c r="B380" s="19" t="n">
        <v>45552</v>
      </c>
      <c r="C380" s="18" t="s">
        <v>41</v>
      </c>
      <c r="D380" s="18" t="s">
        <v>64</v>
      </c>
      <c r="E380" s="18" t="s">
        <v>32</v>
      </c>
      <c r="F380" s="20" t="n">
        <v>26026</v>
      </c>
      <c r="G380" s="20" t="n">
        <v>2212.21</v>
      </c>
      <c r="H380" s="18" t="n">
        <v>1</v>
      </c>
      <c r="I380" s="20" t="n">
        <f aca="false">F380</f>
        <v>26026</v>
      </c>
      <c r="J380" s="22" t="n">
        <f aca="false">IFERROR(G380/F380,0)</f>
        <v>0.085</v>
      </c>
      <c r="K380" s="23" t="n">
        <f aca="false">MONTH(B380)</f>
        <v>9</v>
      </c>
    </row>
    <row r="381" customFormat="false" ht="15" hidden="false" customHeight="true" outlineLevel="0" collapsed="false">
      <c r="A381" s="18" t="s">
        <v>435</v>
      </c>
      <c r="B381" s="19" t="n">
        <v>45429</v>
      </c>
      <c r="C381" s="18" t="s">
        <v>23</v>
      </c>
      <c r="D381" s="18" t="s">
        <v>64</v>
      </c>
      <c r="E381" s="18" t="s">
        <v>32</v>
      </c>
      <c r="F381" s="20" t="n">
        <v>177894</v>
      </c>
      <c r="G381" s="20" t="n">
        <v>26684.1</v>
      </c>
      <c r="H381" s="18" t="n">
        <v>3</v>
      </c>
      <c r="I381" s="20" t="n">
        <f aca="false">F381</f>
        <v>177894</v>
      </c>
      <c r="J381" s="22" t="n">
        <f aca="false">IFERROR(G381/F381,0)</f>
        <v>0.15</v>
      </c>
      <c r="K381" s="23" t="n">
        <f aca="false">MONTH(B381)</f>
        <v>5</v>
      </c>
    </row>
    <row r="382" customFormat="false" ht="15" hidden="false" customHeight="true" outlineLevel="0" collapsed="false">
      <c r="A382" s="18" t="s">
        <v>436</v>
      </c>
      <c r="B382" s="19" t="n">
        <v>45650</v>
      </c>
      <c r="C382" s="18" t="s">
        <v>41</v>
      </c>
      <c r="D382" s="18" t="s">
        <v>72</v>
      </c>
      <c r="E382" s="18" t="s">
        <v>29</v>
      </c>
      <c r="F382" s="20" t="n">
        <v>6130</v>
      </c>
      <c r="G382" s="20" t="n">
        <v>1219.87</v>
      </c>
      <c r="H382" s="18" t="n">
        <v>1</v>
      </c>
      <c r="I382" s="20" t="n">
        <f aca="false">F382</f>
        <v>6130</v>
      </c>
      <c r="J382" s="22" t="n">
        <f aca="false">IFERROR(G382/F382,0)</f>
        <v>0.199</v>
      </c>
      <c r="K382" s="23" t="n">
        <f aca="false">MONTH(B382)</f>
        <v>12</v>
      </c>
    </row>
    <row r="383" customFormat="false" ht="15" hidden="false" customHeight="true" outlineLevel="0" collapsed="false">
      <c r="A383" s="18" t="s">
        <v>437</v>
      </c>
      <c r="B383" s="19" t="n">
        <v>45414</v>
      </c>
      <c r="C383" s="18" t="s">
        <v>39</v>
      </c>
      <c r="D383" s="18" t="s">
        <v>64</v>
      </c>
      <c r="E383" s="18" t="s">
        <v>32</v>
      </c>
      <c r="F383" s="20" t="n">
        <v>223101</v>
      </c>
      <c r="G383" s="20" t="n">
        <v>32126.54</v>
      </c>
      <c r="H383" s="18" t="n">
        <v>9</v>
      </c>
      <c r="I383" s="20" t="n">
        <f aca="false">F383</f>
        <v>223101</v>
      </c>
      <c r="J383" s="22" t="n">
        <f aca="false">IFERROR(G383/F383,0)</f>
        <v>0.143999982070901</v>
      </c>
      <c r="K383" s="23" t="n">
        <f aca="false">MONTH(B383)</f>
        <v>5</v>
      </c>
    </row>
    <row r="384" customFormat="false" ht="15" hidden="false" customHeight="true" outlineLevel="0" collapsed="false">
      <c r="A384" s="18" t="s">
        <v>438</v>
      </c>
      <c r="B384" s="19" t="n">
        <v>45652</v>
      </c>
      <c r="C384" s="18" t="s">
        <v>39</v>
      </c>
      <c r="D384" s="18" t="s">
        <v>106</v>
      </c>
      <c r="E384" s="18" t="s">
        <v>25</v>
      </c>
      <c r="F384" s="20" t="n">
        <v>16784</v>
      </c>
      <c r="G384" s="20" t="n">
        <v>4128.86</v>
      </c>
      <c r="H384" s="18" t="n">
        <v>8</v>
      </c>
      <c r="I384" s="20" t="n">
        <f aca="false">F384</f>
        <v>16784</v>
      </c>
      <c r="J384" s="22" t="n">
        <f aca="false">IFERROR(G384/F384,0)</f>
        <v>0.245999761677788</v>
      </c>
      <c r="K384" s="23" t="n">
        <f aca="false">MONTH(B384)</f>
        <v>12</v>
      </c>
    </row>
    <row r="385" customFormat="false" ht="15" hidden="false" customHeight="true" outlineLevel="0" collapsed="false">
      <c r="A385" s="18" t="s">
        <v>439</v>
      </c>
      <c r="B385" s="19" t="n">
        <v>45620</v>
      </c>
      <c r="C385" s="18" t="s">
        <v>27</v>
      </c>
      <c r="D385" s="18" t="s">
        <v>58</v>
      </c>
      <c r="E385" s="18" t="s">
        <v>50</v>
      </c>
      <c r="F385" s="20" t="n">
        <v>609</v>
      </c>
      <c r="G385" s="20" t="n">
        <v>227.77</v>
      </c>
      <c r="H385" s="18" t="n">
        <v>7</v>
      </c>
      <c r="I385" s="20" t="n">
        <f aca="false">F385</f>
        <v>609</v>
      </c>
      <c r="J385" s="22" t="n">
        <f aca="false">IFERROR(G385/F385,0)</f>
        <v>0.374006568144499</v>
      </c>
      <c r="K385" s="23" t="n">
        <f aca="false">MONTH(B385)</f>
        <v>11</v>
      </c>
    </row>
    <row r="386" customFormat="false" ht="15" hidden="false" customHeight="true" outlineLevel="0" collapsed="false">
      <c r="A386" s="18" t="s">
        <v>440</v>
      </c>
      <c r="B386" s="19" t="n">
        <v>45566</v>
      </c>
      <c r="C386" s="18" t="s">
        <v>27</v>
      </c>
      <c r="D386" s="18" t="s">
        <v>55</v>
      </c>
      <c r="E386" s="18" t="s">
        <v>32</v>
      </c>
      <c r="F386" s="20" t="n">
        <v>158976</v>
      </c>
      <c r="G386" s="20" t="n">
        <v>26707.97</v>
      </c>
      <c r="H386" s="18" t="n">
        <v>6</v>
      </c>
      <c r="I386" s="20" t="n">
        <f aca="false">F386</f>
        <v>158976</v>
      </c>
      <c r="J386" s="22" t="n">
        <f aca="false">IFERROR(G386/F386,0)</f>
        <v>0.168000012580515</v>
      </c>
      <c r="K386" s="23" t="n">
        <f aca="false">MONTH(B386)</f>
        <v>10</v>
      </c>
    </row>
    <row r="387" customFormat="false" ht="15" hidden="false" customHeight="true" outlineLevel="0" collapsed="false">
      <c r="A387" s="18" t="s">
        <v>441</v>
      </c>
      <c r="B387" s="19" t="n">
        <v>45456</v>
      </c>
      <c r="C387" s="18" t="s">
        <v>41</v>
      </c>
      <c r="D387" s="18" t="s">
        <v>55</v>
      </c>
      <c r="E387" s="18" t="s">
        <v>32</v>
      </c>
      <c r="F387" s="20" t="n">
        <v>188250</v>
      </c>
      <c r="G387" s="20" t="n">
        <v>20895.75</v>
      </c>
      <c r="H387" s="18" t="n">
        <v>6</v>
      </c>
      <c r="I387" s="20" t="n">
        <f aca="false">F387</f>
        <v>188250</v>
      </c>
      <c r="J387" s="22" t="n">
        <f aca="false">IFERROR(G387/F387,0)</f>
        <v>0.111</v>
      </c>
      <c r="K387" s="23" t="n">
        <f aca="false">MONTH(B387)</f>
        <v>6</v>
      </c>
    </row>
    <row r="388" customFormat="false" ht="15" hidden="false" customHeight="true" outlineLevel="0" collapsed="false">
      <c r="A388" s="18" t="s">
        <v>442</v>
      </c>
      <c r="B388" s="19" t="n">
        <v>45455</v>
      </c>
      <c r="C388" s="18" t="s">
        <v>39</v>
      </c>
      <c r="D388" s="18" t="s">
        <v>75</v>
      </c>
      <c r="E388" s="18" t="s">
        <v>29</v>
      </c>
      <c r="F388" s="20" t="n">
        <v>4350</v>
      </c>
      <c r="G388" s="20" t="n">
        <v>630.75</v>
      </c>
      <c r="H388" s="18" t="n">
        <v>2</v>
      </c>
      <c r="I388" s="20" t="n">
        <f aca="false">F388</f>
        <v>4350</v>
      </c>
      <c r="J388" s="22" t="n">
        <f aca="false">IFERROR(G388/F388,0)</f>
        <v>0.145</v>
      </c>
      <c r="K388" s="23" t="n">
        <f aca="false">MONTH(B388)</f>
        <v>6</v>
      </c>
    </row>
    <row r="389" customFormat="false" ht="15" hidden="false" customHeight="true" outlineLevel="0" collapsed="false">
      <c r="A389" s="18" t="s">
        <v>443</v>
      </c>
      <c r="B389" s="19" t="n">
        <v>45385</v>
      </c>
      <c r="C389" s="18" t="s">
        <v>27</v>
      </c>
      <c r="D389" s="18" t="s">
        <v>20</v>
      </c>
      <c r="E389" s="18" t="s">
        <v>21</v>
      </c>
      <c r="F389" s="20" t="n">
        <v>96426</v>
      </c>
      <c r="G389" s="20" t="n">
        <v>14849.6</v>
      </c>
      <c r="H389" s="18" t="n">
        <v>6</v>
      </c>
      <c r="I389" s="20" t="n">
        <f aca="false">F389</f>
        <v>96426</v>
      </c>
      <c r="J389" s="22" t="n">
        <f aca="false">IFERROR(G389/F389,0)</f>
        <v>0.153999958517412</v>
      </c>
      <c r="K389" s="23" t="n">
        <f aca="false">MONTH(B389)</f>
        <v>4</v>
      </c>
    </row>
    <row r="390" customFormat="false" ht="15" hidden="false" customHeight="true" outlineLevel="0" collapsed="false">
      <c r="A390" s="18" t="s">
        <v>444</v>
      </c>
      <c r="B390" s="19" t="n">
        <v>45487</v>
      </c>
      <c r="C390" s="18" t="s">
        <v>39</v>
      </c>
      <c r="D390" s="18" t="s">
        <v>75</v>
      </c>
      <c r="E390" s="18" t="s">
        <v>29</v>
      </c>
      <c r="F390" s="20" t="n">
        <v>3240</v>
      </c>
      <c r="G390" s="20" t="n">
        <v>495.72</v>
      </c>
      <c r="H390" s="18" t="n">
        <v>3</v>
      </c>
      <c r="I390" s="20" t="n">
        <f aca="false">F390</f>
        <v>3240</v>
      </c>
      <c r="J390" s="22" t="n">
        <f aca="false">IFERROR(G390/F390,0)</f>
        <v>0.153</v>
      </c>
      <c r="K390" s="23" t="n">
        <f aca="false">MONTH(B390)</f>
        <v>7</v>
      </c>
    </row>
    <row r="391" customFormat="false" ht="15" hidden="false" customHeight="true" outlineLevel="0" collapsed="false">
      <c r="A391" s="18" t="s">
        <v>445</v>
      </c>
      <c r="B391" s="19" t="n">
        <v>45422</v>
      </c>
      <c r="C391" s="18" t="s">
        <v>27</v>
      </c>
      <c r="D391" s="18" t="s">
        <v>36</v>
      </c>
      <c r="E391" s="18" t="s">
        <v>25</v>
      </c>
      <c r="F391" s="20" t="n">
        <v>8744</v>
      </c>
      <c r="G391" s="20" t="n">
        <v>1810.01</v>
      </c>
      <c r="H391" s="18" t="n">
        <v>4</v>
      </c>
      <c r="I391" s="20" t="n">
        <f aca="false">F391</f>
        <v>8744</v>
      </c>
      <c r="J391" s="22" t="n">
        <f aca="false">IFERROR(G391/F391,0)</f>
        <v>0.207000228728271</v>
      </c>
      <c r="K391" s="23" t="n">
        <f aca="false">MONTH(B391)</f>
        <v>5</v>
      </c>
    </row>
    <row r="392" customFormat="false" ht="15" hidden="false" customHeight="true" outlineLevel="0" collapsed="false">
      <c r="A392" s="18" t="s">
        <v>446</v>
      </c>
      <c r="B392" s="19" t="n">
        <v>45486</v>
      </c>
      <c r="C392" s="18" t="s">
        <v>23</v>
      </c>
      <c r="D392" s="18" t="s">
        <v>42</v>
      </c>
      <c r="E392" s="18" t="s">
        <v>21</v>
      </c>
      <c r="F392" s="20" t="n">
        <v>104168</v>
      </c>
      <c r="G392" s="20" t="n">
        <v>21354.44</v>
      </c>
      <c r="H392" s="18" t="n">
        <v>8</v>
      </c>
      <c r="I392" s="20" t="n">
        <f aca="false">F392</f>
        <v>104168</v>
      </c>
      <c r="J392" s="22" t="n">
        <f aca="false">IFERROR(G392/F392,0)</f>
        <v>0.205</v>
      </c>
      <c r="K392" s="23" t="n">
        <f aca="false">MONTH(B392)</f>
        <v>7</v>
      </c>
    </row>
    <row r="393" customFormat="false" ht="15" hidden="false" customHeight="true" outlineLevel="0" collapsed="false">
      <c r="A393" s="18" t="s">
        <v>447</v>
      </c>
      <c r="B393" s="19" t="n">
        <v>45526</v>
      </c>
      <c r="C393" s="18" t="s">
        <v>39</v>
      </c>
      <c r="D393" s="18" t="s">
        <v>70</v>
      </c>
      <c r="E393" s="18" t="s">
        <v>21</v>
      </c>
      <c r="F393" s="20" t="n">
        <v>106572</v>
      </c>
      <c r="G393" s="20" t="n">
        <v>13960.93</v>
      </c>
      <c r="H393" s="18" t="n">
        <v>3</v>
      </c>
      <c r="I393" s="20" t="n">
        <f aca="false">F393</f>
        <v>106572</v>
      </c>
      <c r="J393" s="22" t="n">
        <f aca="false">IFERROR(G393/F393,0)</f>
        <v>0.130999981233345</v>
      </c>
      <c r="K393" s="23" t="n">
        <f aca="false">MONTH(B393)</f>
        <v>8</v>
      </c>
    </row>
    <row r="394" customFormat="false" ht="15" hidden="false" customHeight="true" outlineLevel="0" collapsed="false">
      <c r="A394" s="18" t="s">
        <v>448</v>
      </c>
      <c r="B394" s="19" t="n">
        <v>45504</v>
      </c>
      <c r="C394" s="18" t="s">
        <v>27</v>
      </c>
      <c r="D394" s="18" t="s">
        <v>96</v>
      </c>
      <c r="E394" s="18" t="s">
        <v>50</v>
      </c>
      <c r="F394" s="20" t="n">
        <v>105</v>
      </c>
      <c r="G394" s="20" t="n">
        <v>32.87</v>
      </c>
      <c r="H394" s="18" t="n">
        <v>3</v>
      </c>
      <c r="I394" s="20" t="n">
        <f aca="false">F394</f>
        <v>105</v>
      </c>
      <c r="J394" s="22" t="n">
        <f aca="false">IFERROR(G394/F394,0)</f>
        <v>0.313047619047619</v>
      </c>
      <c r="K394" s="23" t="n">
        <f aca="false">MONTH(B394)</f>
        <v>7</v>
      </c>
    </row>
    <row r="395" customFormat="false" ht="15" hidden="false" customHeight="true" outlineLevel="0" collapsed="false">
      <c r="A395" s="18" t="s">
        <v>449</v>
      </c>
      <c r="B395" s="19" t="n">
        <v>45410</v>
      </c>
      <c r="C395" s="18" t="s">
        <v>23</v>
      </c>
      <c r="D395" s="18" t="s">
        <v>49</v>
      </c>
      <c r="E395" s="18" t="s">
        <v>50</v>
      </c>
      <c r="F395" s="20" t="n">
        <v>468</v>
      </c>
      <c r="G395" s="20" t="n">
        <v>184.86</v>
      </c>
      <c r="H395" s="18" t="n">
        <v>6</v>
      </c>
      <c r="I395" s="20" t="n">
        <f aca="false">F395</f>
        <v>468</v>
      </c>
      <c r="J395" s="22" t="n">
        <f aca="false">IFERROR(G395/F395,0)</f>
        <v>0.395</v>
      </c>
      <c r="K395" s="23" t="n">
        <f aca="false">MONTH(B395)</f>
        <v>4</v>
      </c>
    </row>
    <row r="396" customFormat="false" ht="15" hidden="false" customHeight="true" outlineLevel="0" collapsed="false">
      <c r="A396" s="18" t="s">
        <v>450</v>
      </c>
      <c r="B396" s="19" t="n">
        <v>45613</v>
      </c>
      <c r="C396" s="18" t="s">
        <v>39</v>
      </c>
      <c r="D396" s="18" t="s">
        <v>52</v>
      </c>
      <c r="E396" s="18" t="s">
        <v>32</v>
      </c>
      <c r="F396" s="20" t="n">
        <v>38825</v>
      </c>
      <c r="G396" s="20" t="n">
        <v>5746.1</v>
      </c>
      <c r="H396" s="18" t="n">
        <v>5</v>
      </c>
      <c r="I396" s="20" t="n">
        <f aca="false">F396</f>
        <v>38825</v>
      </c>
      <c r="J396" s="22" t="n">
        <f aca="false">IFERROR(G396/F396,0)</f>
        <v>0.148</v>
      </c>
      <c r="K396" s="23" t="n">
        <f aca="false">MONTH(B396)</f>
        <v>11</v>
      </c>
    </row>
    <row r="397" customFormat="false" ht="15" hidden="false" customHeight="true" outlineLevel="0" collapsed="false">
      <c r="A397" s="18" t="s">
        <v>451</v>
      </c>
      <c r="B397" s="19" t="n">
        <v>45376</v>
      </c>
      <c r="C397" s="18" t="s">
        <v>27</v>
      </c>
      <c r="D397" s="18" t="s">
        <v>93</v>
      </c>
      <c r="E397" s="18" t="s">
        <v>32</v>
      </c>
      <c r="F397" s="20" t="n">
        <v>22764</v>
      </c>
      <c r="G397" s="20" t="n">
        <v>2390.22</v>
      </c>
      <c r="H397" s="18" t="n">
        <v>7</v>
      </c>
      <c r="I397" s="20" t="n">
        <f aca="false">F397</f>
        <v>22764</v>
      </c>
      <c r="J397" s="22" t="n">
        <f aca="false">IFERROR(G397/F397,0)</f>
        <v>0.105</v>
      </c>
      <c r="K397" s="23" t="n">
        <f aca="false">MONTH(B397)</f>
        <v>3</v>
      </c>
    </row>
    <row r="398" customFormat="false" ht="15" hidden="false" customHeight="true" outlineLevel="0" collapsed="false">
      <c r="A398" s="18" t="s">
        <v>452</v>
      </c>
      <c r="B398" s="19" t="n">
        <v>45583</v>
      </c>
      <c r="C398" s="18" t="s">
        <v>39</v>
      </c>
      <c r="D398" s="18" t="s">
        <v>46</v>
      </c>
      <c r="E398" s="18" t="s">
        <v>29</v>
      </c>
      <c r="F398" s="20" t="n">
        <v>41510</v>
      </c>
      <c r="G398" s="20" t="n">
        <v>6724.62</v>
      </c>
      <c r="H398" s="18" t="n">
        <v>10</v>
      </c>
      <c r="I398" s="20" t="n">
        <f aca="false">F398</f>
        <v>41510</v>
      </c>
      <c r="J398" s="22" t="n">
        <f aca="false">IFERROR(G398/F398,0)</f>
        <v>0.162</v>
      </c>
      <c r="K398" s="23" t="n">
        <f aca="false">MONTH(B398)</f>
        <v>10</v>
      </c>
    </row>
    <row r="399" customFormat="false" ht="15" hidden="false" customHeight="true" outlineLevel="0" collapsed="false">
      <c r="A399" s="18" t="s">
        <v>453</v>
      </c>
      <c r="B399" s="19" t="n">
        <v>45648</v>
      </c>
      <c r="C399" s="18" t="s">
        <v>39</v>
      </c>
      <c r="D399" s="18" t="s">
        <v>86</v>
      </c>
      <c r="E399" s="18" t="s">
        <v>21</v>
      </c>
      <c r="F399" s="20" t="n">
        <v>115686</v>
      </c>
      <c r="G399" s="20" t="n">
        <v>28805.81</v>
      </c>
      <c r="H399" s="18" t="n">
        <v>2</v>
      </c>
      <c r="I399" s="20" t="n">
        <f aca="false">F399</f>
        <v>115686</v>
      </c>
      <c r="J399" s="22" t="n">
        <f aca="false">IFERROR(G399/F399,0)</f>
        <v>0.248999965423647</v>
      </c>
      <c r="K399" s="23" t="n">
        <f aca="false">MONTH(B399)</f>
        <v>12</v>
      </c>
    </row>
    <row r="400" customFormat="false" ht="15" hidden="false" customHeight="true" outlineLevel="0" collapsed="false">
      <c r="A400" s="18" t="s">
        <v>454</v>
      </c>
      <c r="B400" s="19" t="n">
        <v>45435</v>
      </c>
      <c r="C400" s="18" t="s">
        <v>23</v>
      </c>
      <c r="D400" s="18" t="s">
        <v>34</v>
      </c>
      <c r="E400" s="18" t="s">
        <v>25</v>
      </c>
      <c r="F400" s="20" t="n">
        <v>5430</v>
      </c>
      <c r="G400" s="20" t="n">
        <v>955.68</v>
      </c>
      <c r="H400" s="18" t="n">
        <v>10</v>
      </c>
      <c r="I400" s="20" t="n">
        <f aca="false">F400</f>
        <v>5430</v>
      </c>
      <c r="J400" s="22" t="n">
        <f aca="false">IFERROR(G400/F400,0)</f>
        <v>0.176</v>
      </c>
      <c r="K400" s="23" t="n">
        <f aca="false">MONTH(B400)</f>
        <v>5</v>
      </c>
    </row>
    <row r="401" customFormat="false" ht="15" hidden="false" customHeight="true" outlineLevel="0" collapsed="false">
      <c r="A401" s="18" t="s">
        <v>455</v>
      </c>
      <c r="B401" s="19" t="n">
        <v>45434</v>
      </c>
      <c r="C401" s="18" t="s">
        <v>27</v>
      </c>
      <c r="D401" s="18" t="s">
        <v>83</v>
      </c>
      <c r="E401" s="18" t="s">
        <v>21</v>
      </c>
      <c r="F401" s="20" t="n">
        <v>20410</v>
      </c>
      <c r="G401" s="20" t="n">
        <v>2510.43</v>
      </c>
      <c r="H401" s="18" t="n">
        <v>2</v>
      </c>
      <c r="I401" s="20" t="n">
        <f aca="false">F401</f>
        <v>20410</v>
      </c>
      <c r="J401" s="22" t="n">
        <f aca="false">IFERROR(G401/F401,0)</f>
        <v>0.123</v>
      </c>
      <c r="K401" s="23" t="n">
        <f aca="false">MONTH(B401)</f>
        <v>5</v>
      </c>
    </row>
    <row r="402" customFormat="false" ht="15" hidden="false" customHeight="true" outlineLevel="0" collapsed="false">
      <c r="A402" s="18" t="s">
        <v>456</v>
      </c>
      <c r="B402" s="19" t="n">
        <v>45508</v>
      </c>
      <c r="C402" s="18" t="s">
        <v>27</v>
      </c>
      <c r="D402" s="18" t="s">
        <v>62</v>
      </c>
      <c r="E402" s="18" t="s">
        <v>50</v>
      </c>
      <c r="F402" s="20" t="n">
        <v>65</v>
      </c>
      <c r="G402" s="20" t="n">
        <v>13.78</v>
      </c>
      <c r="H402" s="18" t="n">
        <v>1</v>
      </c>
      <c r="I402" s="20" t="n">
        <f aca="false">F402</f>
        <v>65</v>
      </c>
      <c r="J402" s="22" t="n">
        <f aca="false">IFERROR(G402/F402,0)</f>
        <v>0.212</v>
      </c>
      <c r="K402" s="23" t="n">
        <f aca="false">MONTH(B402)</f>
        <v>8</v>
      </c>
    </row>
    <row r="403" customFormat="false" ht="15" hidden="false" customHeight="true" outlineLevel="0" collapsed="false">
      <c r="A403" s="18" t="s">
        <v>457</v>
      </c>
      <c r="B403" s="19" t="n">
        <v>45428</v>
      </c>
      <c r="C403" s="18" t="s">
        <v>23</v>
      </c>
      <c r="D403" s="18" t="s">
        <v>24</v>
      </c>
      <c r="E403" s="18" t="s">
        <v>25</v>
      </c>
      <c r="F403" s="20" t="n">
        <v>2164</v>
      </c>
      <c r="G403" s="20" t="n">
        <v>755.24</v>
      </c>
      <c r="H403" s="18" t="n">
        <v>1</v>
      </c>
      <c r="I403" s="20" t="n">
        <f aca="false">F403</f>
        <v>2164</v>
      </c>
      <c r="J403" s="22" t="n">
        <f aca="false">IFERROR(G403/F403,0)</f>
        <v>0.349001848428835</v>
      </c>
      <c r="K403" s="23" t="n">
        <f aca="false">MONTH(B403)</f>
        <v>5</v>
      </c>
    </row>
    <row r="404" customFormat="false" ht="15" hidden="false" customHeight="true" outlineLevel="0" collapsed="false">
      <c r="A404" s="18" t="s">
        <v>458</v>
      </c>
      <c r="B404" s="19" t="n">
        <v>45455</v>
      </c>
      <c r="C404" s="18" t="s">
        <v>19</v>
      </c>
      <c r="D404" s="18" t="s">
        <v>52</v>
      </c>
      <c r="E404" s="18" t="s">
        <v>32</v>
      </c>
      <c r="F404" s="20" t="n">
        <v>7200</v>
      </c>
      <c r="G404" s="20" t="n">
        <v>698.4</v>
      </c>
      <c r="H404" s="18" t="n">
        <v>2</v>
      </c>
      <c r="I404" s="20" t="n">
        <f aca="false">F404</f>
        <v>7200</v>
      </c>
      <c r="J404" s="22" t="n">
        <f aca="false">IFERROR(G404/F404,0)</f>
        <v>0.097</v>
      </c>
      <c r="K404" s="23" t="n">
        <f aca="false">MONTH(B404)</f>
        <v>6</v>
      </c>
    </row>
    <row r="405" customFormat="false" ht="15" hidden="false" customHeight="true" outlineLevel="0" collapsed="false">
      <c r="A405" s="18" t="s">
        <v>459</v>
      </c>
      <c r="B405" s="19" t="n">
        <v>45580</v>
      </c>
      <c r="C405" s="18" t="s">
        <v>39</v>
      </c>
      <c r="D405" s="18" t="s">
        <v>46</v>
      </c>
      <c r="E405" s="18" t="s">
        <v>29</v>
      </c>
      <c r="F405" s="20" t="n">
        <v>58023</v>
      </c>
      <c r="G405" s="20" t="n">
        <v>9747.86</v>
      </c>
      <c r="H405" s="18" t="n">
        <v>9</v>
      </c>
      <c r="I405" s="20" t="n">
        <f aca="false">F405</f>
        <v>58023</v>
      </c>
      <c r="J405" s="22" t="n">
        <f aca="false">IFERROR(G405/F405,0)</f>
        <v>0.16799993106182</v>
      </c>
      <c r="K405" s="23" t="n">
        <f aca="false">MONTH(B405)</f>
        <v>10</v>
      </c>
    </row>
    <row r="406" customFormat="false" ht="15" hidden="false" customHeight="true" outlineLevel="0" collapsed="false">
      <c r="A406" s="18" t="s">
        <v>460</v>
      </c>
      <c r="B406" s="19" t="n">
        <v>45335</v>
      </c>
      <c r="C406" s="18" t="s">
        <v>19</v>
      </c>
      <c r="D406" s="18" t="s">
        <v>20</v>
      </c>
      <c r="E406" s="18" t="s">
        <v>21</v>
      </c>
      <c r="F406" s="20" t="n">
        <v>38814</v>
      </c>
      <c r="G406" s="20" t="n">
        <v>6753.64</v>
      </c>
      <c r="H406" s="18" t="n">
        <v>6</v>
      </c>
      <c r="I406" s="20" t="n">
        <f aca="false">F406</f>
        <v>38814</v>
      </c>
      <c r="J406" s="22" t="n">
        <f aca="false">IFERROR(G406/F406,0)</f>
        <v>0.174000103055599</v>
      </c>
      <c r="K406" s="23" t="n">
        <f aca="false">MONTH(B406)</f>
        <v>2</v>
      </c>
    </row>
    <row r="407" customFormat="false" ht="15" hidden="false" customHeight="true" outlineLevel="0" collapsed="false">
      <c r="A407" s="18" t="s">
        <v>461</v>
      </c>
      <c r="B407" s="19" t="n">
        <v>45472</v>
      </c>
      <c r="C407" s="18" t="s">
        <v>23</v>
      </c>
      <c r="D407" s="18" t="s">
        <v>55</v>
      </c>
      <c r="E407" s="18" t="s">
        <v>32</v>
      </c>
      <c r="F407" s="20" t="n">
        <v>211300</v>
      </c>
      <c r="G407" s="20" t="n">
        <v>26412.5</v>
      </c>
      <c r="H407" s="18" t="n">
        <v>5</v>
      </c>
      <c r="I407" s="20" t="n">
        <f aca="false">F407</f>
        <v>211300</v>
      </c>
      <c r="J407" s="22" t="n">
        <f aca="false">IFERROR(G407/F407,0)</f>
        <v>0.125</v>
      </c>
      <c r="K407" s="23" t="n">
        <f aca="false">MONTH(B407)</f>
        <v>6</v>
      </c>
    </row>
    <row r="408" customFormat="false" ht="15" hidden="false" customHeight="true" outlineLevel="0" collapsed="false">
      <c r="A408" s="18" t="s">
        <v>462</v>
      </c>
      <c r="B408" s="19" t="n">
        <v>45539</v>
      </c>
      <c r="C408" s="18" t="s">
        <v>19</v>
      </c>
      <c r="D408" s="18" t="s">
        <v>91</v>
      </c>
      <c r="E408" s="18" t="s">
        <v>25</v>
      </c>
      <c r="F408" s="20" t="n">
        <v>43130</v>
      </c>
      <c r="G408" s="20" t="n">
        <v>10998.15</v>
      </c>
      <c r="H408" s="18" t="n">
        <v>10</v>
      </c>
      <c r="I408" s="20" t="n">
        <f aca="false">F408</f>
        <v>43130</v>
      </c>
      <c r="J408" s="22" t="n">
        <f aca="false">IFERROR(G408/F408,0)</f>
        <v>0.255</v>
      </c>
      <c r="K408" s="23" t="n">
        <f aca="false">MONTH(B408)</f>
        <v>9</v>
      </c>
    </row>
    <row r="409" customFormat="false" ht="15" hidden="false" customHeight="true" outlineLevel="0" collapsed="false">
      <c r="A409" s="18" t="s">
        <v>463</v>
      </c>
      <c r="B409" s="19" t="n">
        <v>45476</v>
      </c>
      <c r="C409" s="18" t="s">
        <v>39</v>
      </c>
      <c r="D409" s="18" t="s">
        <v>83</v>
      </c>
      <c r="E409" s="18" t="s">
        <v>21</v>
      </c>
      <c r="F409" s="20" t="n">
        <v>60630</v>
      </c>
      <c r="G409" s="20" t="n">
        <v>11277.18</v>
      </c>
      <c r="H409" s="18" t="n">
        <v>6</v>
      </c>
      <c r="I409" s="20" t="n">
        <f aca="false">F409</f>
        <v>60630</v>
      </c>
      <c r="J409" s="22" t="n">
        <f aca="false">IFERROR(G409/F409,0)</f>
        <v>0.186</v>
      </c>
      <c r="K409" s="23" t="n">
        <f aca="false">MONTH(B409)</f>
        <v>7</v>
      </c>
    </row>
    <row r="410" customFormat="false" ht="15" hidden="false" customHeight="true" outlineLevel="0" collapsed="false">
      <c r="A410" s="18" t="s">
        <v>464</v>
      </c>
      <c r="B410" s="19" t="n">
        <v>45294</v>
      </c>
      <c r="C410" s="18" t="s">
        <v>39</v>
      </c>
      <c r="D410" s="18" t="s">
        <v>42</v>
      </c>
      <c r="E410" s="18" t="s">
        <v>21</v>
      </c>
      <c r="F410" s="20" t="n">
        <v>54678</v>
      </c>
      <c r="G410" s="20" t="n">
        <v>7490.89</v>
      </c>
      <c r="H410" s="18" t="n">
        <v>6</v>
      </c>
      <c r="I410" s="20" t="n">
        <f aca="false">F410</f>
        <v>54678</v>
      </c>
      <c r="J410" s="22" t="n">
        <f aca="false">IFERROR(G410/F410,0)</f>
        <v>0.137000073155565</v>
      </c>
      <c r="K410" s="23" t="n">
        <f aca="false">MONTH(B410)</f>
        <v>1</v>
      </c>
    </row>
    <row r="411" customFormat="false" ht="15" hidden="false" customHeight="true" outlineLevel="0" collapsed="false">
      <c r="A411" s="18" t="s">
        <v>465</v>
      </c>
      <c r="B411" s="19" t="n">
        <v>45497</v>
      </c>
      <c r="C411" s="18" t="s">
        <v>41</v>
      </c>
      <c r="D411" s="18" t="s">
        <v>46</v>
      </c>
      <c r="E411" s="18" t="s">
        <v>29</v>
      </c>
      <c r="F411" s="20" t="n">
        <v>60201</v>
      </c>
      <c r="G411" s="20" t="n">
        <v>8187.34</v>
      </c>
      <c r="H411" s="18" t="n">
        <v>9</v>
      </c>
      <c r="I411" s="20" t="n">
        <f aca="false">F411</f>
        <v>60201</v>
      </c>
      <c r="J411" s="22" t="n">
        <f aca="false">IFERROR(G411/F411,0)</f>
        <v>0.136000066444079</v>
      </c>
      <c r="K411" s="23" t="n">
        <f aca="false">MONTH(B411)</f>
        <v>7</v>
      </c>
    </row>
    <row r="412" customFormat="false" ht="15" hidden="false" customHeight="true" outlineLevel="0" collapsed="false">
      <c r="A412" s="18" t="s">
        <v>466</v>
      </c>
      <c r="B412" s="19" t="n">
        <v>45351</v>
      </c>
      <c r="C412" s="18" t="s">
        <v>41</v>
      </c>
      <c r="D412" s="18" t="s">
        <v>36</v>
      </c>
      <c r="E412" s="18" t="s">
        <v>25</v>
      </c>
      <c r="F412" s="20" t="n">
        <v>1579</v>
      </c>
      <c r="G412" s="20" t="n">
        <v>505.28</v>
      </c>
      <c r="H412" s="18" t="n">
        <v>1</v>
      </c>
      <c r="I412" s="20" t="n">
        <f aca="false">F412</f>
        <v>1579</v>
      </c>
      <c r="J412" s="22" t="n">
        <f aca="false">IFERROR(G412/F412,0)</f>
        <v>0.32</v>
      </c>
      <c r="K412" s="23" t="n">
        <f aca="false">MONTH(B412)</f>
        <v>2</v>
      </c>
    </row>
    <row r="413" customFormat="false" ht="15" hidden="false" customHeight="true" outlineLevel="0" collapsed="false">
      <c r="A413" s="18" t="s">
        <v>467</v>
      </c>
      <c r="B413" s="19" t="n">
        <v>45573</v>
      </c>
      <c r="C413" s="18" t="s">
        <v>41</v>
      </c>
      <c r="D413" s="18" t="s">
        <v>55</v>
      </c>
      <c r="E413" s="18" t="s">
        <v>32</v>
      </c>
      <c r="F413" s="20" t="n">
        <v>319620</v>
      </c>
      <c r="G413" s="20" t="n">
        <v>54015.78</v>
      </c>
      <c r="H413" s="18" t="n">
        <v>10</v>
      </c>
      <c r="I413" s="20" t="n">
        <f aca="false">F413</f>
        <v>319620</v>
      </c>
      <c r="J413" s="22" t="n">
        <f aca="false">IFERROR(G413/F413,0)</f>
        <v>0.169</v>
      </c>
      <c r="K413" s="23" t="n">
        <f aca="false">MONTH(B413)</f>
        <v>10</v>
      </c>
    </row>
    <row r="414" customFormat="false" ht="15" hidden="false" customHeight="true" outlineLevel="0" collapsed="false">
      <c r="A414" s="18" t="s">
        <v>468</v>
      </c>
      <c r="B414" s="19" t="n">
        <v>45447</v>
      </c>
      <c r="C414" s="18" t="s">
        <v>27</v>
      </c>
      <c r="D414" s="18" t="s">
        <v>52</v>
      </c>
      <c r="E414" s="18" t="s">
        <v>32</v>
      </c>
      <c r="F414" s="20" t="n">
        <v>5446</v>
      </c>
      <c r="G414" s="20" t="n">
        <v>920.37</v>
      </c>
      <c r="H414" s="18" t="n">
        <v>2</v>
      </c>
      <c r="I414" s="20" t="n">
        <f aca="false">F414</f>
        <v>5446</v>
      </c>
      <c r="J414" s="22" t="n">
        <f aca="false">IFERROR(G414/F414,0)</f>
        <v>0.168999265515975</v>
      </c>
      <c r="K414" s="23" t="n">
        <f aca="false">MONTH(B414)</f>
        <v>6</v>
      </c>
    </row>
    <row r="415" customFormat="false" ht="15" hidden="false" customHeight="true" outlineLevel="0" collapsed="false">
      <c r="A415" s="18" t="s">
        <v>469</v>
      </c>
      <c r="B415" s="19" t="n">
        <v>45630</v>
      </c>
      <c r="C415" s="18" t="s">
        <v>41</v>
      </c>
      <c r="D415" s="18" t="s">
        <v>96</v>
      </c>
      <c r="E415" s="18" t="s">
        <v>50</v>
      </c>
      <c r="F415" s="20" t="n">
        <v>279</v>
      </c>
      <c r="G415" s="20" t="n">
        <v>68.08</v>
      </c>
      <c r="H415" s="18" t="n">
        <v>3</v>
      </c>
      <c r="I415" s="20" t="n">
        <f aca="false">F415</f>
        <v>279</v>
      </c>
      <c r="J415" s="22" t="n">
        <f aca="false">IFERROR(G415/F415,0)</f>
        <v>0.244014336917563</v>
      </c>
      <c r="K415" s="23" t="n">
        <f aca="false">MONTH(B415)</f>
        <v>12</v>
      </c>
    </row>
    <row r="416" customFormat="false" ht="15" hidden="false" customHeight="true" outlineLevel="0" collapsed="false">
      <c r="A416" s="18" t="s">
        <v>470</v>
      </c>
      <c r="B416" s="19" t="n">
        <v>45362</v>
      </c>
      <c r="C416" s="18" t="s">
        <v>39</v>
      </c>
      <c r="D416" s="18" t="s">
        <v>55</v>
      </c>
      <c r="E416" s="18" t="s">
        <v>32</v>
      </c>
      <c r="F416" s="20" t="n">
        <v>93140</v>
      </c>
      <c r="G416" s="20" t="n">
        <v>12201.34</v>
      </c>
      <c r="H416" s="18" t="n">
        <v>5</v>
      </c>
      <c r="I416" s="20" t="n">
        <f aca="false">F416</f>
        <v>93140</v>
      </c>
      <c r="J416" s="22" t="n">
        <f aca="false">IFERROR(G416/F416,0)</f>
        <v>0.131</v>
      </c>
      <c r="K416" s="23" t="n">
        <f aca="false">MONTH(B416)</f>
        <v>3</v>
      </c>
    </row>
    <row r="417" customFormat="false" ht="15" hidden="false" customHeight="true" outlineLevel="0" collapsed="false">
      <c r="A417" s="18" t="s">
        <v>471</v>
      </c>
      <c r="B417" s="19" t="n">
        <v>45599</v>
      </c>
      <c r="C417" s="18" t="s">
        <v>27</v>
      </c>
      <c r="D417" s="18" t="s">
        <v>55</v>
      </c>
      <c r="E417" s="18" t="s">
        <v>32</v>
      </c>
      <c r="F417" s="20" t="n">
        <v>58482</v>
      </c>
      <c r="G417" s="20" t="n">
        <v>5965.16</v>
      </c>
      <c r="H417" s="18" t="n">
        <v>2</v>
      </c>
      <c r="I417" s="20" t="n">
        <f aca="false">F417</f>
        <v>58482</v>
      </c>
      <c r="J417" s="22" t="n">
        <f aca="false">IFERROR(G417/F417,0)</f>
        <v>0.101999931602886</v>
      </c>
      <c r="K417" s="23" t="n">
        <f aca="false">MONTH(B417)</f>
        <v>11</v>
      </c>
    </row>
    <row r="418" customFormat="false" ht="15" hidden="false" customHeight="true" outlineLevel="0" collapsed="false">
      <c r="A418" s="18" t="s">
        <v>472</v>
      </c>
      <c r="B418" s="19" t="n">
        <v>45645</v>
      </c>
      <c r="C418" s="18" t="s">
        <v>39</v>
      </c>
      <c r="D418" s="18" t="s">
        <v>106</v>
      </c>
      <c r="E418" s="18" t="s">
        <v>25</v>
      </c>
      <c r="F418" s="20" t="n">
        <v>12170</v>
      </c>
      <c r="G418" s="20" t="n">
        <v>4247.33</v>
      </c>
      <c r="H418" s="18" t="n">
        <v>5</v>
      </c>
      <c r="I418" s="20" t="n">
        <f aca="false">F418</f>
        <v>12170</v>
      </c>
      <c r="J418" s="22" t="n">
        <f aca="false">IFERROR(G418/F418,0)</f>
        <v>0.349</v>
      </c>
      <c r="K418" s="23" t="n">
        <f aca="false">MONTH(B418)</f>
        <v>12</v>
      </c>
    </row>
    <row r="419" customFormat="false" ht="15" hidden="false" customHeight="true" outlineLevel="0" collapsed="false">
      <c r="A419" s="18" t="s">
        <v>473</v>
      </c>
      <c r="B419" s="19" t="n">
        <v>45481</v>
      </c>
      <c r="C419" s="18" t="s">
        <v>19</v>
      </c>
      <c r="D419" s="18" t="s">
        <v>62</v>
      </c>
      <c r="E419" s="18" t="s">
        <v>50</v>
      </c>
      <c r="F419" s="20" t="n">
        <v>372</v>
      </c>
      <c r="G419" s="20" t="n">
        <v>84.82</v>
      </c>
      <c r="H419" s="18" t="n">
        <v>2</v>
      </c>
      <c r="I419" s="20" t="n">
        <f aca="false">F419</f>
        <v>372</v>
      </c>
      <c r="J419" s="22" t="n">
        <f aca="false">IFERROR(G419/F419,0)</f>
        <v>0.228010752688172</v>
      </c>
      <c r="K419" s="23" t="n">
        <f aca="false">MONTH(B419)</f>
        <v>7</v>
      </c>
    </row>
    <row r="420" customFormat="false" ht="15" hidden="false" customHeight="true" outlineLevel="0" collapsed="false">
      <c r="A420" s="18" t="s">
        <v>474</v>
      </c>
      <c r="B420" s="19" t="n">
        <v>45632</v>
      </c>
      <c r="C420" s="18" t="s">
        <v>27</v>
      </c>
      <c r="D420" s="18" t="s">
        <v>91</v>
      </c>
      <c r="E420" s="18" t="s">
        <v>25</v>
      </c>
      <c r="F420" s="20" t="n">
        <v>2378</v>
      </c>
      <c r="G420" s="20" t="n">
        <v>642.06</v>
      </c>
      <c r="H420" s="18" t="n">
        <v>1</v>
      </c>
      <c r="I420" s="20" t="n">
        <f aca="false">F420</f>
        <v>2378</v>
      </c>
      <c r="J420" s="22" t="n">
        <f aca="false">IFERROR(G420/F420,0)</f>
        <v>0.27</v>
      </c>
      <c r="K420" s="23" t="n">
        <f aca="false">MONTH(B420)</f>
        <v>12</v>
      </c>
    </row>
    <row r="421" customFormat="false" ht="15" hidden="false" customHeight="true" outlineLevel="0" collapsed="false">
      <c r="A421" s="18" t="s">
        <v>475</v>
      </c>
      <c r="B421" s="19" t="n">
        <v>45620</v>
      </c>
      <c r="C421" s="18" t="s">
        <v>23</v>
      </c>
      <c r="D421" s="18" t="s">
        <v>120</v>
      </c>
      <c r="E421" s="18" t="s">
        <v>29</v>
      </c>
      <c r="F421" s="20" t="n">
        <v>26612</v>
      </c>
      <c r="G421" s="20" t="n">
        <v>4470.82</v>
      </c>
      <c r="H421" s="18" t="n">
        <v>4</v>
      </c>
      <c r="I421" s="20" t="n">
        <f aca="false">F421</f>
        <v>26612</v>
      </c>
      <c r="J421" s="22" t="n">
        <f aca="false">IFERROR(G421/F421,0)</f>
        <v>0.168000150308132</v>
      </c>
      <c r="K421" s="23" t="n">
        <f aca="false">MONTH(B421)</f>
        <v>11</v>
      </c>
    </row>
    <row r="422" customFormat="false" ht="15" hidden="false" customHeight="true" outlineLevel="0" collapsed="false">
      <c r="A422" s="18" t="s">
        <v>476</v>
      </c>
      <c r="B422" s="19" t="n">
        <v>45630</v>
      </c>
      <c r="C422" s="18" t="s">
        <v>27</v>
      </c>
      <c r="D422" s="18" t="s">
        <v>120</v>
      </c>
      <c r="E422" s="18" t="s">
        <v>29</v>
      </c>
      <c r="F422" s="20" t="n">
        <v>9943</v>
      </c>
      <c r="G422" s="20" t="n">
        <v>1203.1</v>
      </c>
      <c r="H422" s="18" t="n">
        <v>1</v>
      </c>
      <c r="I422" s="20" t="n">
        <f aca="false">F422</f>
        <v>9943</v>
      </c>
      <c r="J422" s="22" t="n">
        <f aca="false">IFERROR(G422/F422,0)</f>
        <v>0.120999698280197</v>
      </c>
      <c r="K422" s="23" t="n">
        <f aca="false">MONTH(B422)</f>
        <v>12</v>
      </c>
    </row>
    <row r="423" customFormat="false" ht="15" hidden="false" customHeight="true" outlineLevel="0" collapsed="false">
      <c r="A423" s="18" t="s">
        <v>477</v>
      </c>
      <c r="B423" s="19" t="n">
        <v>45518</v>
      </c>
      <c r="C423" s="18" t="s">
        <v>27</v>
      </c>
      <c r="D423" s="18" t="s">
        <v>83</v>
      </c>
      <c r="E423" s="18" t="s">
        <v>21</v>
      </c>
      <c r="F423" s="20" t="n">
        <v>43576</v>
      </c>
      <c r="G423" s="20" t="n">
        <v>5882.76</v>
      </c>
      <c r="H423" s="18" t="n">
        <v>4</v>
      </c>
      <c r="I423" s="20" t="n">
        <f aca="false">F423</f>
        <v>43576</v>
      </c>
      <c r="J423" s="22" t="n">
        <f aca="false">IFERROR(G423/F423,0)</f>
        <v>0.135</v>
      </c>
      <c r="K423" s="23" t="n">
        <f aca="false">MONTH(B423)</f>
        <v>8</v>
      </c>
    </row>
    <row r="424" customFormat="false" ht="15" hidden="false" customHeight="true" outlineLevel="0" collapsed="false">
      <c r="A424" s="18" t="s">
        <v>478</v>
      </c>
      <c r="B424" s="19" t="n">
        <v>45394</v>
      </c>
      <c r="C424" s="18" t="s">
        <v>39</v>
      </c>
      <c r="D424" s="18" t="s">
        <v>42</v>
      </c>
      <c r="E424" s="18" t="s">
        <v>21</v>
      </c>
      <c r="F424" s="20" t="n">
        <v>35440</v>
      </c>
      <c r="G424" s="20" t="n">
        <v>5918.48</v>
      </c>
      <c r="H424" s="18" t="n">
        <v>8</v>
      </c>
      <c r="I424" s="20" t="n">
        <f aca="false">F424</f>
        <v>35440</v>
      </c>
      <c r="J424" s="22" t="n">
        <f aca="false">IFERROR(G424/F424,0)</f>
        <v>0.167</v>
      </c>
      <c r="K424" s="23" t="n">
        <f aca="false">MONTH(B424)</f>
        <v>4</v>
      </c>
    </row>
    <row r="425" customFormat="false" ht="15" hidden="false" customHeight="true" outlineLevel="0" collapsed="false">
      <c r="A425" s="18" t="s">
        <v>479</v>
      </c>
      <c r="B425" s="19" t="n">
        <v>45338</v>
      </c>
      <c r="C425" s="18" t="s">
        <v>23</v>
      </c>
      <c r="D425" s="18" t="s">
        <v>55</v>
      </c>
      <c r="E425" s="18" t="s">
        <v>32</v>
      </c>
      <c r="F425" s="20" t="n">
        <v>57540</v>
      </c>
      <c r="G425" s="20" t="n">
        <v>8285.76</v>
      </c>
      <c r="H425" s="18" t="n">
        <v>2</v>
      </c>
      <c r="I425" s="20" t="n">
        <f aca="false">F425</f>
        <v>57540</v>
      </c>
      <c r="J425" s="22" t="n">
        <f aca="false">IFERROR(G425/F425,0)</f>
        <v>0.144</v>
      </c>
      <c r="K425" s="23" t="n">
        <f aca="false">MONTH(B425)</f>
        <v>2</v>
      </c>
    </row>
    <row r="426" customFormat="false" ht="15" hidden="false" customHeight="true" outlineLevel="0" collapsed="false">
      <c r="A426" s="18" t="s">
        <v>480</v>
      </c>
      <c r="B426" s="19" t="n">
        <v>45468</v>
      </c>
      <c r="C426" s="18" t="s">
        <v>23</v>
      </c>
      <c r="D426" s="18" t="s">
        <v>83</v>
      </c>
      <c r="E426" s="18" t="s">
        <v>21</v>
      </c>
      <c r="F426" s="20" t="n">
        <v>10027</v>
      </c>
      <c r="G426" s="20" t="n">
        <v>1905.13</v>
      </c>
      <c r="H426" s="18" t="n">
        <v>1</v>
      </c>
      <c r="I426" s="20" t="n">
        <f aca="false">F426</f>
        <v>10027</v>
      </c>
      <c r="J426" s="22" t="n">
        <f aca="false">IFERROR(G426/F426,0)</f>
        <v>0.19</v>
      </c>
      <c r="K426" s="23" t="n">
        <f aca="false">MONTH(B426)</f>
        <v>6</v>
      </c>
    </row>
    <row r="427" customFormat="false" ht="15" hidden="false" customHeight="true" outlineLevel="0" collapsed="false">
      <c r="A427" s="18" t="s">
        <v>481</v>
      </c>
      <c r="B427" s="19" t="n">
        <v>45434</v>
      </c>
      <c r="C427" s="18" t="s">
        <v>27</v>
      </c>
      <c r="D427" s="18" t="s">
        <v>20</v>
      </c>
      <c r="E427" s="18" t="s">
        <v>21</v>
      </c>
      <c r="F427" s="20" t="n">
        <v>46503</v>
      </c>
      <c r="G427" s="20" t="n">
        <v>9951.64</v>
      </c>
      <c r="H427" s="18" t="n">
        <v>9</v>
      </c>
      <c r="I427" s="20" t="n">
        <f aca="false">F427</f>
        <v>46503</v>
      </c>
      <c r="J427" s="22" t="n">
        <f aca="false">IFERROR(G427/F427,0)</f>
        <v>0.213999956992022</v>
      </c>
      <c r="K427" s="23" t="n">
        <f aca="false">MONTH(B427)</f>
        <v>5</v>
      </c>
    </row>
    <row r="428" customFormat="false" ht="15" hidden="false" customHeight="true" outlineLevel="0" collapsed="false">
      <c r="A428" s="18" t="s">
        <v>482</v>
      </c>
      <c r="B428" s="19" t="n">
        <v>45315</v>
      </c>
      <c r="C428" s="18" t="s">
        <v>41</v>
      </c>
      <c r="D428" s="18" t="s">
        <v>93</v>
      </c>
      <c r="E428" s="18" t="s">
        <v>32</v>
      </c>
      <c r="F428" s="20" t="n">
        <v>88032</v>
      </c>
      <c r="G428" s="20" t="n">
        <v>11180.06</v>
      </c>
      <c r="H428" s="18" t="n">
        <v>6</v>
      </c>
      <c r="I428" s="20" t="n">
        <f aca="false">F428</f>
        <v>88032</v>
      </c>
      <c r="J428" s="22" t="n">
        <f aca="false">IFERROR(G428/F428,0)</f>
        <v>0.126999954561977</v>
      </c>
      <c r="K428" s="23" t="n">
        <f aca="false">MONTH(B428)</f>
        <v>1</v>
      </c>
    </row>
    <row r="429" customFormat="false" ht="15" hidden="false" customHeight="true" outlineLevel="0" collapsed="false">
      <c r="A429" s="18" t="s">
        <v>483</v>
      </c>
      <c r="B429" s="19" t="n">
        <v>45429</v>
      </c>
      <c r="C429" s="18" t="s">
        <v>27</v>
      </c>
      <c r="D429" s="18" t="s">
        <v>120</v>
      </c>
      <c r="E429" s="18" t="s">
        <v>29</v>
      </c>
      <c r="F429" s="20" t="n">
        <v>18158</v>
      </c>
      <c r="G429" s="20" t="n">
        <v>2614.75</v>
      </c>
      <c r="H429" s="18" t="n">
        <v>2</v>
      </c>
      <c r="I429" s="20" t="n">
        <f aca="false">F429</f>
        <v>18158</v>
      </c>
      <c r="J429" s="22" t="n">
        <f aca="false">IFERROR(G429/F429,0)</f>
        <v>0.143999889855711</v>
      </c>
      <c r="K429" s="23" t="n">
        <f aca="false">MONTH(B429)</f>
        <v>5</v>
      </c>
    </row>
    <row r="430" customFormat="false" ht="15" hidden="false" customHeight="true" outlineLevel="0" collapsed="false">
      <c r="A430" s="18" t="s">
        <v>484</v>
      </c>
      <c r="B430" s="19" t="n">
        <v>45364</v>
      </c>
      <c r="C430" s="18" t="s">
        <v>41</v>
      </c>
      <c r="D430" s="18" t="s">
        <v>28</v>
      </c>
      <c r="E430" s="18" t="s">
        <v>29</v>
      </c>
      <c r="F430" s="20" t="n">
        <v>15564</v>
      </c>
      <c r="G430" s="20" t="n">
        <v>2132.27</v>
      </c>
      <c r="H430" s="18" t="n">
        <v>6</v>
      </c>
      <c r="I430" s="20" t="n">
        <f aca="false">F430</f>
        <v>15564</v>
      </c>
      <c r="J430" s="22" t="n">
        <f aca="false">IFERROR(G430/F430,0)</f>
        <v>0.137000128501671</v>
      </c>
      <c r="K430" s="23" t="n">
        <f aca="false">MONTH(B430)</f>
        <v>3</v>
      </c>
    </row>
    <row r="431" customFormat="false" ht="15" hidden="false" customHeight="true" outlineLevel="0" collapsed="false">
      <c r="A431" s="18" t="s">
        <v>404</v>
      </c>
      <c r="B431" s="19" t="n">
        <v>45628</v>
      </c>
      <c r="C431" s="18" t="s">
        <v>19</v>
      </c>
      <c r="D431" s="18" t="s">
        <v>44</v>
      </c>
      <c r="E431" s="18" t="s">
        <v>32</v>
      </c>
      <c r="F431" s="20" t="n">
        <v>12620</v>
      </c>
      <c r="G431" s="20" t="n">
        <v>1716.32</v>
      </c>
      <c r="H431" s="18" t="n">
        <v>10</v>
      </c>
      <c r="I431" s="20" t="n">
        <f aca="false">F431</f>
        <v>12620</v>
      </c>
      <c r="J431" s="22" t="n">
        <f aca="false">IFERROR(G431/F431,0)</f>
        <v>0.136</v>
      </c>
      <c r="K431" s="23" t="n">
        <f aca="false">MONTH(B431)</f>
        <v>12</v>
      </c>
    </row>
    <row r="432" customFormat="false" ht="15" hidden="false" customHeight="true" outlineLevel="0" collapsed="false">
      <c r="A432" s="18" t="s">
        <v>485</v>
      </c>
      <c r="B432" s="19" t="n">
        <v>45370</v>
      </c>
      <c r="C432" s="18" t="s">
        <v>19</v>
      </c>
      <c r="D432" s="18" t="s">
        <v>36</v>
      </c>
      <c r="E432" s="18" t="s">
        <v>25</v>
      </c>
      <c r="F432" s="20" t="n">
        <v>17754</v>
      </c>
      <c r="G432" s="20" t="n">
        <v>6054.11</v>
      </c>
      <c r="H432" s="18" t="n">
        <v>3</v>
      </c>
      <c r="I432" s="20" t="n">
        <f aca="false">F432</f>
        <v>17754</v>
      </c>
      <c r="J432" s="22" t="n">
        <f aca="false">IFERROR(G432/F432,0)</f>
        <v>0.340999774698659</v>
      </c>
      <c r="K432" s="23" t="n">
        <f aca="false">MONTH(B432)</f>
        <v>3</v>
      </c>
    </row>
    <row r="433" customFormat="false" ht="15" hidden="false" customHeight="true" outlineLevel="0" collapsed="false">
      <c r="A433" s="18" t="s">
        <v>486</v>
      </c>
      <c r="B433" s="19" t="n">
        <v>45339</v>
      </c>
      <c r="C433" s="18" t="s">
        <v>19</v>
      </c>
      <c r="D433" s="18" t="s">
        <v>42</v>
      </c>
      <c r="E433" s="18" t="s">
        <v>21</v>
      </c>
      <c r="F433" s="20" t="n">
        <v>107338</v>
      </c>
      <c r="G433" s="20" t="n">
        <v>16315.38</v>
      </c>
      <c r="H433" s="18" t="n">
        <v>7</v>
      </c>
      <c r="I433" s="20" t="n">
        <f aca="false">F433</f>
        <v>107338</v>
      </c>
      <c r="J433" s="22" t="n">
        <f aca="false">IFERROR(G433/F433,0)</f>
        <v>0.152000037265461</v>
      </c>
      <c r="K433" s="23" t="n">
        <f aca="false">MONTH(B433)</f>
        <v>2</v>
      </c>
    </row>
    <row r="434" customFormat="false" ht="15" hidden="false" customHeight="true" outlineLevel="0" collapsed="false">
      <c r="A434" s="18" t="s">
        <v>487</v>
      </c>
      <c r="B434" s="19" t="n">
        <v>45354</v>
      </c>
      <c r="C434" s="18" t="s">
        <v>41</v>
      </c>
      <c r="D434" s="18" t="s">
        <v>42</v>
      </c>
      <c r="E434" s="18" t="s">
        <v>21</v>
      </c>
      <c r="F434" s="20" t="n">
        <v>101276</v>
      </c>
      <c r="G434" s="20" t="n">
        <v>22584.55</v>
      </c>
      <c r="H434" s="18" t="n">
        <v>7</v>
      </c>
      <c r="I434" s="20" t="n">
        <f aca="false">F434</f>
        <v>101276</v>
      </c>
      <c r="J434" s="22" t="n">
        <f aca="false">IFERROR(G434/F434,0)</f>
        <v>0.223000019748015</v>
      </c>
      <c r="K434" s="23" t="n">
        <f aca="false">MONTH(B434)</f>
        <v>3</v>
      </c>
    </row>
    <row r="435" customFormat="false" ht="15" hidden="false" customHeight="true" outlineLevel="0" collapsed="false">
      <c r="A435" s="18" t="s">
        <v>488</v>
      </c>
      <c r="B435" s="19" t="n">
        <v>45492</v>
      </c>
      <c r="C435" s="18" t="s">
        <v>23</v>
      </c>
      <c r="D435" s="18" t="s">
        <v>86</v>
      </c>
      <c r="E435" s="18" t="s">
        <v>21</v>
      </c>
      <c r="F435" s="20" t="n">
        <v>103599</v>
      </c>
      <c r="G435" s="20" t="n">
        <v>21548.59</v>
      </c>
      <c r="H435" s="18" t="n">
        <v>3</v>
      </c>
      <c r="I435" s="20" t="n">
        <f aca="false">F435</f>
        <v>103599</v>
      </c>
      <c r="J435" s="22" t="n">
        <f aca="false">IFERROR(G435/F435,0)</f>
        <v>0.207999980694794</v>
      </c>
      <c r="K435" s="23" t="n">
        <f aca="false">MONTH(B435)</f>
        <v>7</v>
      </c>
    </row>
    <row r="436" customFormat="false" ht="15" hidden="false" customHeight="true" outlineLevel="0" collapsed="false">
      <c r="A436" s="18" t="s">
        <v>489</v>
      </c>
      <c r="B436" s="19" t="n">
        <v>45495</v>
      </c>
      <c r="C436" s="18" t="s">
        <v>27</v>
      </c>
      <c r="D436" s="18" t="s">
        <v>96</v>
      </c>
      <c r="E436" s="18" t="s">
        <v>50</v>
      </c>
      <c r="F436" s="20" t="n">
        <v>180</v>
      </c>
      <c r="G436" s="20" t="n">
        <v>59.04</v>
      </c>
      <c r="H436" s="18" t="n">
        <v>5</v>
      </c>
      <c r="I436" s="20" t="n">
        <f aca="false">F436</f>
        <v>180</v>
      </c>
      <c r="J436" s="22" t="n">
        <f aca="false">IFERROR(G436/F436,0)</f>
        <v>0.328</v>
      </c>
      <c r="K436" s="23" t="n">
        <f aca="false">MONTH(B436)</f>
        <v>7</v>
      </c>
    </row>
    <row r="437" customFormat="false" ht="15" hidden="false" customHeight="true" outlineLevel="0" collapsed="false">
      <c r="A437" s="18" t="s">
        <v>490</v>
      </c>
      <c r="B437" s="19" t="n">
        <v>45640</v>
      </c>
      <c r="C437" s="18" t="s">
        <v>39</v>
      </c>
      <c r="D437" s="18" t="s">
        <v>91</v>
      </c>
      <c r="E437" s="18" t="s">
        <v>25</v>
      </c>
      <c r="F437" s="20" t="n">
        <v>3884</v>
      </c>
      <c r="G437" s="20" t="n">
        <v>967.12</v>
      </c>
      <c r="H437" s="18" t="n">
        <v>1</v>
      </c>
      <c r="I437" s="20" t="n">
        <f aca="false">F437</f>
        <v>3884</v>
      </c>
      <c r="J437" s="22" t="n">
        <f aca="false">IFERROR(G437/F437,0)</f>
        <v>0.249001029866117</v>
      </c>
      <c r="K437" s="23" t="n">
        <f aca="false">MONTH(B437)</f>
        <v>12</v>
      </c>
    </row>
    <row r="438" customFormat="false" ht="15" hidden="false" customHeight="true" outlineLevel="0" collapsed="false">
      <c r="A438" s="18" t="s">
        <v>491</v>
      </c>
      <c r="B438" s="19" t="n">
        <v>45317</v>
      </c>
      <c r="C438" s="18" t="s">
        <v>41</v>
      </c>
      <c r="D438" s="18" t="s">
        <v>83</v>
      </c>
      <c r="E438" s="18" t="s">
        <v>21</v>
      </c>
      <c r="F438" s="20" t="n">
        <v>75576</v>
      </c>
      <c r="G438" s="20" t="n">
        <v>13830.41</v>
      </c>
      <c r="H438" s="18" t="n">
        <v>8</v>
      </c>
      <c r="I438" s="20" t="n">
        <f aca="false">F438</f>
        <v>75576</v>
      </c>
      <c r="J438" s="22" t="n">
        <f aca="false">IFERROR(G438/F438,0)</f>
        <v>0.183000026463428</v>
      </c>
      <c r="K438" s="23" t="n">
        <f aca="false">MONTH(B438)</f>
        <v>1</v>
      </c>
    </row>
    <row r="439" customFormat="false" ht="15" hidden="false" customHeight="true" outlineLevel="0" collapsed="false">
      <c r="A439" s="18" t="s">
        <v>492</v>
      </c>
      <c r="B439" s="19" t="n">
        <v>45585</v>
      </c>
      <c r="C439" s="18" t="s">
        <v>19</v>
      </c>
      <c r="D439" s="18" t="s">
        <v>62</v>
      </c>
      <c r="E439" s="18" t="s">
        <v>50</v>
      </c>
      <c r="F439" s="20" t="n">
        <v>657</v>
      </c>
      <c r="G439" s="20" t="n">
        <v>211.55</v>
      </c>
      <c r="H439" s="18" t="n">
        <v>9</v>
      </c>
      <c r="I439" s="20" t="n">
        <f aca="false">F439</f>
        <v>657</v>
      </c>
      <c r="J439" s="22" t="n">
        <f aca="false">IFERROR(G439/F439,0)</f>
        <v>0.321993911719939</v>
      </c>
      <c r="K439" s="23" t="n">
        <f aca="false">MONTH(B439)</f>
        <v>10</v>
      </c>
    </row>
    <row r="440" customFormat="false" ht="15" hidden="false" customHeight="true" outlineLevel="0" collapsed="false">
      <c r="A440" s="18" t="s">
        <v>493</v>
      </c>
      <c r="B440" s="19" t="n">
        <v>45578</v>
      </c>
      <c r="C440" s="18" t="s">
        <v>27</v>
      </c>
      <c r="D440" s="18" t="s">
        <v>62</v>
      </c>
      <c r="E440" s="18" t="s">
        <v>50</v>
      </c>
      <c r="F440" s="20" t="n">
        <v>572</v>
      </c>
      <c r="G440" s="20" t="n">
        <v>186.47</v>
      </c>
      <c r="H440" s="18" t="n">
        <v>4</v>
      </c>
      <c r="I440" s="20" t="n">
        <f aca="false">F440</f>
        <v>572</v>
      </c>
      <c r="J440" s="22" t="n">
        <f aca="false">IFERROR(G440/F440,0)</f>
        <v>0.325996503496504</v>
      </c>
      <c r="K440" s="23" t="n">
        <f aca="false">MONTH(B440)</f>
        <v>10</v>
      </c>
    </row>
    <row r="441" customFormat="false" ht="15" hidden="false" customHeight="true" outlineLevel="0" collapsed="false">
      <c r="A441" s="18" t="s">
        <v>494</v>
      </c>
      <c r="B441" s="19" t="n">
        <v>45316</v>
      </c>
      <c r="C441" s="18" t="s">
        <v>39</v>
      </c>
      <c r="D441" s="18" t="s">
        <v>91</v>
      </c>
      <c r="E441" s="18" t="s">
        <v>25</v>
      </c>
      <c r="F441" s="20" t="n">
        <v>2847</v>
      </c>
      <c r="G441" s="20" t="n">
        <v>677.59</v>
      </c>
      <c r="H441" s="18" t="n">
        <v>1</v>
      </c>
      <c r="I441" s="20" t="n">
        <f aca="false">F441</f>
        <v>2847</v>
      </c>
      <c r="J441" s="22" t="n">
        <f aca="false">IFERROR(G441/F441,0)</f>
        <v>0.238001404987706</v>
      </c>
      <c r="K441" s="23" t="n">
        <f aca="false">MONTH(B441)</f>
        <v>1</v>
      </c>
    </row>
    <row r="442" customFormat="false" ht="15" hidden="false" customHeight="true" outlineLevel="0" collapsed="false">
      <c r="A442" s="18" t="s">
        <v>495</v>
      </c>
      <c r="B442" s="19" t="n">
        <v>45590</v>
      </c>
      <c r="C442" s="18" t="s">
        <v>23</v>
      </c>
      <c r="D442" s="18" t="s">
        <v>20</v>
      </c>
      <c r="E442" s="18" t="s">
        <v>21</v>
      </c>
      <c r="F442" s="20" t="n">
        <v>89418</v>
      </c>
      <c r="G442" s="20" t="n">
        <v>19046.03</v>
      </c>
      <c r="H442" s="18" t="n">
        <v>6</v>
      </c>
      <c r="I442" s="20" t="n">
        <f aca="false">F442</f>
        <v>89418</v>
      </c>
      <c r="J442" s="22" t="n">
        <f aca="false">IFERROR(G442/F442,0)</f>
        <v>0.212999955266277</v>
      </c>
      <c r="K442" s="23" t="n">
        <f aca="false">MONTH(B442)</f>
        <v>10</v>
      </c>
    </row>
    <row r="443" customFormat="false" ht="15" hidden="false" customHeight="true" outlineLevel="0" collapsed="false">
      <c r="A443" s="18" t="s">
        <v>496</v>
      </c>
      <c r="B443" s="19" t="n">
        <v>45394</v>
      </c>
      <c r="C443" s="18" t="s">
        <v>23</v>
      </c>
      <c r="D443" s="18" t="s">
        <v>93</v>
      </c>
      <c r="E443" s="18" t="s">
        <v>32</v>
      </c>
      <c r="F443" s="20" t="n">
        <v>11770</v>
      </c>
      <c r="G443" s="20" t="n">
        <v>1694.88</v>
      </c>
      <c r="H443" s="18" t="n">
        <v>5</v>
      </c>
      <c r="I443" s="20" t="n">
        <f aca="false">F443</f>
        <v>11770</v>
      </c>
      <c r="J443" s="22" t="n">
        <f aca="false">IFERROR(G443/F443,0)</f>
        <v>0.144</v>
      </c>
      <c r="K443" s="23" t="n">
        <f aca="false">MONTH(B443)</f>
        <v>4</v>
      </c>
    </row>
    <row r="444" customFormat="false" ht="15" hidden="false" customHeight="true" outlineLevel="0" collapsed="false">
      <c r="A444" s="18" t="s">
        <v>497</v>
      </c>
      <c r="B444" s="19" t="n">
        <v>45352</v>
      </c>
      <c r="C444" s="18" t="s">
        <v>27</v>
      </c>
      <c r="D444" s="18" t="s">
        <v>64</v>
      </c>
      <c r="E444" s="18" t="s">
        <v>32</v>
      </c>
      <c r="F444" s="20" t="n">
        <v>480310</v>
      </c>
      <c r="G444" s="20" t="n">
        <v>83573.94</v>
      </c>
      <c r="H444" s="18" t="n">
        <v>10</v>
      </c>
      <c r="I444" s="20" t="n">
        <f aca="false">F444</f>
        <v>480310</v>
      </c>
      <c r="J444" s="22" t="n">
        <f aca="false">IFERROR(G444/F444,0)</f>
        <v>0.174</v>
      </c>
      <c r="K444" s="23" t="n">
        <f aca="false">MONTH(B444)</f>
        <v>3</v>
      </c>
    </row>
    <row r="445" customFormat="false" ht="15" hidden="false" customHeight="true" outlineLevel="0" collapsed="false">
      <c r="A445" s="18" t="s">
        <v>498</v>
      </c>
      <c r="B445" s="19" t="n">
        <v>45591</v>
      </c>
      <c r="C445" s="18" t="s">
        <v>39</v>
      </c>
      <c r="D445" s="18" t="s">
        <v>44</v>
      </c>
      <c r="E445" s="18" t="s">
        <v>32</v>
      </c>
      <c r="F445" s="20" t="n">
        <v>5860</v>
      </c>
      <c r="G445" s="20" t="n">
        <v>855.56</v>
      </c>
      <c r="H445" s="18" t="n">
        <v>2</v>
      </c>
      <c r="I445" s="20" t="n">
        <f aca="false">F445</f>
        <v>5860</v>
      </c>
      <c r="J445" s="22" t="n">
        <f aca="false">IFERROR(G445/F445,0)</f>
        <v>0.146</v>
      </c>
      <c r="K445" s="23" t="n">
        <f aca="false">MONTH(B445)</f>
        <v>10</v>
      </c>
    </row>
    <row r="446" customFormat="false" ht="15" hidden="false" customHeight="true" outlineLevel="0" collapsed="false">
      <c r="A446" s="18" t="s">
        <v>499</v>
      </c>
      <c r="B446" s="19" t="n">
        <v>45541</v>
      </c>
      <c r="C446" s="18" t="s">
        <v>23</v>
      </c>
      <c r="D446" s="18" t="s">
        <v>52</v>
      </c>
      <c r="E446" s="18" t="s">
        <v>32</v>
      </c>
      <c r="F446" s="20" t="n">
        <v>18264</v>
      </c>
      <c r="G446" s="20" t="n">
        <v>2575.22</v>
      </c>
      <c r="H446" s="18" t="n">
        <v>3</v>
      </c>
      <c r="I446" s="20" t="n">
        <f aca="false">F446</f>
        <v>18264</v>
      </c>
      <c r="J446" s="22" t="n">
        <f aca="false">IFERROR(G446/F446,0)</f>
        <v>0.140999780989926</v>
      </c>
      <c r="K446" s="23" t="n">
        <f aca="false">MONTH(B446)</f>
        <v>9</v>
      </c>
    </row>
    <row r="447" customFormat="false" ht="15" hidden="false" customHeight="true" outlineLevel="0" collapsed="false">
      <c r="A447" s="18" t="s">
        <v>500</v>
      </c>
      <c r="B447" s="19" t="n">
        <v>45370</v>
      </c>
      <c r="C447" s="18" t="s">
        <v>41</v>
      </c>
      <c r="D447" s="18" t="s">
        <v>62</v>
      </c>
      <c r="E447" s="18" t="s">
        <v>50</v>
      </c>
      <c r="F447" s="20" t="n">
        <v>294</v>
      </c>
      <c r="G447" s="20" t="n">
        <v>64.09</v>
      </c>
      <c r="H447" s="18" t="n">
        <v>6</v>
      </c>
      <c r="I447" s="20" t="n">
        <f aca="false">F447</f>
        <v>294</v>
      </c>
      <c r="J447" s="22" t="n">
        <f aca="false">IFERROR(G447/F447,0)</f>
        <v>0.217993197278912</v>
      </c>
      <c r="K447" s="23" t="n">
        <f aca="false">MONTH(B447)</f>
        <v>3</v>
      </c>
    </row>
    <row r="448" customFormat="false" ht="15" hidden="false" customHeight="true" outlineLevel="0" collapsed="false">
      <c r="A448" s="18" t="s">
        <v>501</v>
      </c>
      <c r="B448" s="19" t="n">
        <v>45622</v>
      </c>
      <c r="C448" s="18" t="s">
        <v>19</v>
      </c>
      <c r="D448" s="18" t="s">
        <v>62</v>
      </c>
      <c r="E448" s="18" t="s">
        <v>50</v>
      </c>
      <c r="F448" s="20" t="n">
        <v>348</v>
      </c>
      <c r="G448" s="20" t="n">
        <v>70.3</v>
      </c>
      <c r="H448" s="18" t="n">
        <v>6</v>
      </c>
      <c r="I448" s="20" t="n">
        <f aca="false">F448</f>
        <v>348</v>
      </c>
      <c r="J448" s="22" t="n">
        <f aca="false">IFERROR(G448/F448,0)</f>
        <v>0.202011494252874</v>
      </c>
      <c r="K448" s="23" t="n">
        <f aca="false">MONTH(B448)</f>
        <v>11</v>
      </c>
    </row>
    <row r="449" customFormat="false" ht="15" hidden="false" customHeight="true" outlineLevel="0" collapsed="false">
      <c r="A449" s="18" t="s">
        <v>502</v>
      </c>
      <c r="B449" s="19" t="n">
        <v>45461</v>
      </c>
      <c r="C449" s="18" t="s">
        <v>23</v>
      </c>
      <c r="D449" s="18" t="s">
        <v>70</v>
      </c>
      <c r="E449" s="18" t="s">
        <v>21</v>
      </c>
      <c r="F449" s="20" t="n">
        <v>67168</v>
      </c>
      <c r="G449" s="20" t="n">
        <v>15918.82</v>
      </c>
      <c r="H449" s="18" t="n">
        <v>2</v>
      </c>
      <c r="I449" s="20" t="n">
        <f aca="false">F449</f>
        <v>67168</v>
      </c>
      <c r="J449" s="22" t="n">
        <f aca="false">IFERROR(G449/F449,0)</f>
        <v>0.237000059552168</v>
      </c>
      <c r="K449" s="23" t="n">
        <f aca="false">MONTH(B449)</f>
        <v>6</v>
      </c>
    </row>
    <row r="450" customFormat="false" ht="15" hidden="false" customHeight="true" outlineLevel="0" collapsed="false">
      <c r="A450" s="18" t="s">
        <v>503</v>
      </c>
      <c r="B450" s="19" t="n">
        <v>45621</v>
      </c>
      <c r="C450" s="18" t="s">
        <v>27</v>
      </c>
      <c r="D450" s="18" t="s">
        <v>93</v>
      </c>
      <c r="E450" s="18" t="s">
        <v>32</v>
      </c>
      <c r="F450" s="20" t="n">
        <v>18935</v>
      </c>
      <c r="G450" s="20" t="n">
        <v>1988.17</v>
      </c>
      <c r="H450" s="18" t="n">
        <v>5</v>
      </c>
      <c r="I450" s="20" t="n">
        <f aca="false">F450</f>
        <v>18935</v>
      </c>
      <c r="J450" s="22" t="n">
        <f aca="false">IFERROR(G450/F450,0)</f>
        <v>0.104999735938738</v>
      </c>
      <c r="K450" s="23" t="n">
        <f aca="false">MONTH(B450)</f>
        <v>11</v>
      </c>
    </row>
    <row r="451" customFormat="false" ht="15" hidden="false" customHeight="true" outlineLevel="0" collapsed="false">
      <c r="A451" s="18" t="s">
        <v>504</v>
      </c>
      <c r="B451" s="19" t="n">
        <v>45379</v>
      </c>
      <c r="C451" s="18" t="s">
        <v>19</v>
      </c>
      <c r="D451" s="18" t="s">
        <v>55</v>
      </c>
      <c r="E451" s="18" t="s">
        <v>32</v>
      </c>
      <c r="F451" s="20" t="n">
        <v>156552</v>
      </c>
      <c r="G451" s="20" t="n">
        <v>17377.27</v>
      </c>
      <c r="H451" s="18" t="n">
        <v>8</v>
      </c>
      <c r="I451" s="20" t="n">
        <f aca="false">F451</f>
        <v>156552</v>
      </c>
      <c r="J451" s="22" t="n">
        <f aca="false">IFERROR(G451/F451,0)</f>
        <v>0.110999987224692</v>
      </c>
      <c r="K451" s="23" t="n">
        <f aca="false">MONTH(B451)</f>
        <v>3</v>
      </c>
    </row>
    <row r="452" customFormat="false" ht="15" hidden="false" customHeight="true" outlineLevel="0" collapsed="false">
      <c r="A452" s="18" t="s">
        <v>505</v>
      </c>
      <c r="B452" s="19" t="n">
        <v>45339</v>
      </c>
      <c r="C452" s="18" t="s">
        <v>27</v>
      </c>
      <c r="D452" s="18" t="s">
        <v>75</v>
      </c>
      <c r="E452" s="18" t="s">
        <v>29</v>
      </c>
      <c r="F452" s="20" t="n">
        <v>6354</v>
      </c>
      <c r="G452" s="20" t="n">
        <v>1143.72</v>
      </c>
      <c r="H452" s="18" t="n">
        <v>6</v>
      </c>
      <c r="I452" s="20" t="n">
        <f aca="false">F452</f>
        <v>6354</v>
      </c>
      <c r="J452" s="22" t="n">
        <f aca="false">IFERROR(G452/F452,0)</f>
        <v>0.18</v>
      </c>
      <c r="K452" s="23" t="n">
        <f aca="false">MONTH(B452)</f>
        <v>2</v>
      </c>
    </row>
    <row r="453" customFormat="false" ht="15" hidden="false" customHeight="true" outlineLevel="0" collapsed="false">
      <c r="A453" s="18" t="s">
        <v>506</v>
      </c>
      <c r="B453" s="19" t="n">
        <v>45367</v>
      </c>
      <c r="C453" s="18" t="s">
        <v>27</v>
      </c>
      <c r="D453" s="18" t="s">
        <v>93</v>
      </c>
      <c r="E453" s="18" t="s">
        <v>32</v>
      </c>
      <c r="F453" s="20" t="n">
        <v>6550</v>
      </c>
      <c r="G453" s="20" t="n">
        <v>759.8</v>
      </c>
      <c r="H453" s="18" t="n">
        <v>1</v>
      </c>
      <c r="I453" s="20" t="n">
        <f aca="false">F453</f>
        <v>6550</v>
      </c>
      <c r="J453" s="22" t="n">
        <f aca="false">IFERROR(G453/F453,0)</f>
        <v>0.116</v>
      </c>
      <c r="K453" s="23" t="n">
        <f aca="false">MONTH(B453)</f>
        <v>3</v>
      </c>
    </row>
    <row r="454" customFormat="false" ht="15" hidden="false" customHeight="true" outlineLevel="0" collapsed="false">
      <c r="A454" s="18" t="s">
        <v>507</v>
      </c>
      <c r="B454" s="19" t="n">
        <v>45343</v>
      </c>
      <c r="C454" s="18" t="s">
        <v>23</v>
      </c>
      <c r="D454" s="18" t="s">
        <v>64</v>
      </c>
      <c r="E454" s="18" t="s">
        <v>32</v>
      </c>
      <c r="F454" s="20" t="n">
        <v>393408</v>
      </c>
      <c r="G454" s="20" t="n">
        <v>57830.98</v>
      </c>
      <c r="H454" s="18" t="n">
        <v>8</v>
      </c>
      <c r="I454" s="20" t="n">
        <f aca="false">F454</f>
        <v>393408</v>
      </c>
      <c r="J454" s="22" t="n">
        <f aca="false">IFERROR(G454/F454,0)</f>
        <v>0.147000010167561</v>
      </c>
      <c r="K454" s="23" t="n">
        <f aca="false">MONTH(B454)</f>
        <v>2</v>
      </c>
    </row>
    <row r="455" customFormat="false" ht="15" hidden="false" customHeight="true" outlineLevel="0" collapsed="false">
      <c r="A455" s="18" t="s">
        <v>508</v>
      </c>
      <c r="B455" s="19" t="n">
        <v>45384</v>
      </c>
      <c r="C455" s="18" t="s">
        <v>41</v>
      </c>
      <c r="D455" s="18" t="s">
        <v>70</v>
      </c>
      <c r="E455" s="18" t="s">
        <v>21</v>
      </c>
      <c r="F455" s="20" t="n">
        <v>171760</v>
      </c>
      <c r="G455" s="20" t="n">
        <v>21298.24</v>
      </c>
      <c r="H455" s="18" t="n">
        <v>10</v>
      </c>
      <c r="I455" s="20" t="n">
        <f aca="false">F455</f>
        <v>171760</v>
      </c>
      <c r="J455" s="22" t="n">
        <f aca="false">IFERROR(G455/F455,0)</f>
        <v>0.124</v>
      </c>
      <c r="K455" s="23" t="n">
        <f aca="false">MONTH(B455)</f>
        <v>4</v>
      </c>
    </row>
    <row r="456" customFormat="false" ht="15" hidden="false" customHeight="true" outlineLevel="0" collapsed="false">
      <c r="A456" s="18" t="s">
        <v>509</v>
      </c>
      <c r="B456" s="19" t="n">
        <v>45553</v>
      </c>
      <c r="C456" s="18" t="s">
        <v>19</v>
      </c>
      <c r="D456" s="18" t="s">
        <v>64</v>
      </c>
      <c r="E456" s="18" t="s">
        <v>32</v>
      </c>
      <c r="F456" s="20" t="n">
        <v>377208</v>
      </c>
      <c r="G456" s="20" t="n">
        <v>36589.18</v>
      </c>
      <c r="H456" s="18" t="n">
        <v>8</v>
      </c>
      <c r="I456" s="20" t="n">
        <f aca="false">F456</f>
        <v>377208</v>
      </c>
      <c r="J456" s="22" t="n">
        <f aca="false">IFERROR(G456/F456,0)</f>
        <v>0.097000010604229</v>
      </c>
      <c r="K456" s="23" t="n">
        <f aca="false">MONTH(B456)</f>
        <v>9</v>
      </c>
    </row>
    <row r="457" customFormat="false" ht="15" hidden="false" customHeight="true" outlineLevel="0" collapsed="false">
      <c r="A457" s="18" t="s">
        <v>510</v>
      </c>
      <c r="B457" s="19" t="n">
        <v>45556</v>
      </c>
      <c r="C457" s="18" t="s">
        <v>23</v>
      </c>
      <c r="D457" s="18" t="s">
        <v>31</v>
      </c>
      <c r="E457" s="18" t="s">
        <v>32</v>
      </c>
      <c r="F457" s="20" t="n">
        <v>256345</v>
      </c>
      <c r="G457" s="20" t="n">
        <v>27941.6</v>
      </c>
      <c r="H457" s="18" t="n">
        <v>5</v>
      </c>
      <c r="I457" s="20" t="n">
        <f aca="false">F457</f>
        <v>256345</v>
      </c>
      <c r="J457" s="22" t="n">
        <f aca="false">IFERROR(G457/F457,0)</f>
        <v>0.108999980495036</v>
      </c>
      <c r="K457" s="23" t="n">
        <f aca="false">MONTH(B457)</f>
        <v>9</v>
      </c>
    </row>
    <row r="458" customFormat="false" ht="15" hidden="false" customHeight="true" outlineLevel="0" collapsed="false">
      <c r="A458" s="18" t="s">
        <v>511</v>
      </c>
      <c r="B458" s="19" t="n">
        <v>45613</v>
      </c>
      <c r="C458" s="18" t="s">
        <v>27</v>
      </c>
      <c r="D458" s="18" t="s">
        <v>62</v>
      </c>
      <c r="E458" s="18" t="s">
        <v>50</v>
      </c>
      <c r="F458" s="20" t="n">
        <v>1880</v>
      </c>
      <c r="G458" s="20" t="n">
        <v>545.2</v>
      </c>
      <c r="H458" s="18" t="n">
        <v>10</v>
      </c>
      <c r="I458" s="20" t="n">
        <f aca="false">F458</f>
        <v>1880</v>
      </c>
      <c r="J458" s="22" t="n">
        <f aca="false">IFERROR(G458/F458,0)</f>
        <v>0.29</v>
      </c>
      <c r="K458" s="23" t="n">
        <f aca="false">MONTH(B458)</f>
        <v>11</v>
      </c>
    </row>
    <row r="459" customFormat="false" ht="15" hidden="false" customHeight="true" outlineLevel="0" collapsed="false">
      <c r="A459" s="18" t="s">
        <v>512</v>
      </c>
      <c r="B459" s="19" t="n">
        <v>45563</v>
      </c>
      <c r="C459" s="18" t="s">
        <v>39</v>
      </c>
      <c r="D459" s="18" t="s">
        <v>64</v>
      </c>
      <c r="E459" s="18" t="s">
        <v>32</v>
      </c>
      <c r="F459" s="20" t="n">
        <v>137250</v>
      </c>
      <c r="G459" s="20" t="n">
        <v>22646.25</v>
      </c>
      <c r="H459" s="18" t="n">
        <v>9</v>
      </c>
      <c r="I459" s="20" t="n">
        <f aca="false">F459</f>
        <v>137250</v>
      </c>
      <c r="J459" s="22" t="n">
        <f aca="false">IFERROR(G459/F459,0)</f>
        <v>0.165</v>
      </c>
      <c r="K459" s="23" t="n">
        <f aca="false">MONTH(B459)</f>
        <v>9</v>
      </c>
    </row>
    <row r="460" customFormat="false" ht="15" hidden="false" customHeight="true" outlineLevel="0" collapsed="false">
      <c r="A460" s="18" t="s">
        <v>513</v>
      </c>
      <c r="B460" s="19" t="n">
        <v>45427</v>
      </c>
      <c r="C460" s="18" t="s">
        <v>39</v>
      </c>
      <c r="D460" s="18" t="s">
        <v>58</v>
      </c>
      <c r="E460" s="18" t="s">
        <v>50</v>
      </c>
      <c r="F460" s="20" t="n">
        <v>284</v>
      </c>
      <c r="G460" s="20" t="n">
        <v>70.72</v>
      </c>
      <c r="H460" s="18" t="n">
        <v>2</v>
      </c>
      <c r="I460" s="20" t="n">
        <f aca="false">F460</f>
        <v>284</v>
      </c>
      <c r="J460" s="22" t="n">
        <f aca="false">IFERROR(G460/F460,0)</f>
        <v>0.249014084507042</v>
      </c>
      <c r="K460" s="23" t="n">
        <f aca="false">MONTH(B460)</f>
        <v>5</v>
      </c>
    </row>
    <row r="461" customFormat="false" ht="15" hidden="false" customHeight="true" outlineLevel="0" collapsed="false">
      <c r="A461" s="18" t="s">
        <v>514</v>
      </c>
      <c r="B461" s="19" t="n">
        <v>45578</v>
      </c>
      <c r="C461" s="18" t="s">
        <v>39</v>
      </c>
      <c r="D461" s="18" t="s">
        <v>46</v>
      </c>
      <c r="E461" s="18" t="s">
        <v>29</v>
      </c>
      <c r="F461" s="20" t="n">
        <v>56502</v>
      </c>
      <c r="G461" s="20" t="n">
        <v>9548.84</v>
      </c>
      <c r="H461" s="18" t="n">
        <v>9</v>
      </c>
      <c r="I461" s="20" t="n">
        <f aca="false">F461</f>
        <v>56502</v>
      </c>
      <c r="J461" s="22" t="n">
        <f aca="false">IFERROR(G461/F461,0)</f>
        <v>0.169000035396977</v>
      </c>
      <c r="K461" s="23" t="n">
        <f aca="false">MONTH(B461)</f>
        <v>10</v>
      </c>
    </row>
    <row r="462" customFormat="false" ht="15" hidden="false" customHeight="true" outlineLevel="0" collapsed="false">
      <c r="A462" s="18" t="s">
        <v>515</v>
      </c>
      <c r="B462" s="19" t="n">
        <v>45595</v>
      </c>
      <c r="C462" s="18" t="s">
        <v>39</v>
      </c>
      <c r="D462" s="18" t="s">
        <v>93</v>
      </c>
      <c r="E462" s="18" t="s">
        <v>32</v>
      </c>
      <c r="F462" s="20" t="n">
        <v>19278</v>
      </c>
      <c r="G462" s="20" t="n">
        <v>3257.98</v>
      </c>
      <c r="H462" s="18" t="n">
        <v>9</v>
      </c>
      <c r="I462" s="20" t="n">
        <f aca="false">F462</f>
        <v>19278</v>
      </c>
      <c r="J462" s="22" t="n">
        <f aca="false">IFERROR(G462/F462,0)</f>
        <v>0.168999896254798</v>
      </c>
      <c r="K462" s="23" t="n">
        <f aca="false">MONTH(B462)</f>
        <v>10</v>
      </c>
    </row>
    <row r="463" customFormat="false" ht="15" hidden="false" customHeight="true" outlineLevel="0" collapsed="false">
      <c r="A463" s="18" t="s">
        <v>516</v>
      </c>
      <c r="B463" s="19" t="n">
        <v>45411</v>
      </c>
      <c r="C463" s="18" t="s">
        <v>27</v>
      </c>
      <c r="D463" s="18" t="s">
        <v>31</v>
      </c>
      <c r="E463" s="18" t="s">
        <v>32</v>
      </c>
      <c r="F463" s="20" t="n">
        <v>717920</v>
      </c>
      <c r="G463" s="20" t="n">
        <v>81124.96</v>
      </c>
      <c r="H463" s="18" t="n">
        <v>10</v>
      </c>
      <c r="I463" s="20" t="n">
        <f aca="false">F463</f>
        <v>717920</v>
      </c>
      <c r="J463" s="22" t="n">
        <f aca="false">IFERROR(G463/F463,0)</f>
        <v>0.113</v>
      </c>
      <c r="K463" s="23" t="n">
        <f aca="false">MONTH(B463)</f>
        <v>4</v>
      </c>
    </row>
    <row r="464" customFormat="false" ht="15" hidden="false" customHeight="true" outlineLevel="0" collapsed="false">
      <c r="A464" s="18" t="s">
        <v>517</v>
      </c>
      <c r="B464" s="19" t="n">
        <v>45590</v>
      </c>
      <c r="C464" s="18" t="s">
        <v>23</v>
      </c>
      <c r="D464" s="18" t="s">
        <v>34</v>
      </c>
      <c r="E464" s="18" t="s">
        <v>25</v>
      </c>
      <c r="F464" s="20" t="n">
        <v>9751</v>
      </c>
      <c r="G464" s="20" t="n">
        <v>2018.46</v>
      </c>
      <c r="H464" s="18" t="n">
        <v>7</v>
      </c>
      <c r="I464" s="20" t="n">
        <f aca="false">F464</f>
        <v>9751</v>
      </c>
      <c r="J464" s="22" t="n">
        <f aca="false">IFERROR(G464/F464,0)</f>
        <v>0.207000307660753</v>
      </c>
      <c r="K464" s="23" t="n">
        <f aca="false">MONTH(B464)</f>
        <v>10</v>
      </c>
    </row>
    <row r="465" customFormat="false" ht="15" hidden="false" customHeight="true" outlineLevel="0" collapsed="false">
      <c r="A465" s="18" t="s">
        <v>518</v>
      </c>
      <c r="B465" s="19" t="n">
        <v>45447</v>
      </c>
      <c r="C465" s="18" t="s">
        <v>41</v>
      </c>
      <c r="D465" s="18" t="s">
        <v>42</v>
      </c>
      <c r="E465" s="18" t="s">
        <v>21</v>
      </c>
      <c r="F465" s="20" t="n">
        <v>26286</v>
      </c>
      <c r="G465" s="20" t="n">
        <v>5756.63</v>
      </c>
      <c r="H465" s="18" t="n">
        <v>2</v>
      </c>
      <c r="I465" s="20" t="n">
        <f aca="false">F465</f>
        <v>26286</v>
      </c>
      <c r="J465" s="22" t="n">
        <f aca="false">IFERROR(G465/F465,0)</f>
        <v>0.218999847827741</v>
      </c>
      <c r="K465" s="23" t="n">
        <f aca="false">MONTH(B465)</f>
        <v>6</v>
      </c>
    </row>
    <row r="466" customFormat="false" ht="15" hidden="false" customHeight="true" outlineLevel="0" collapsed="false">
      <c r="A466" s="18" t="s">
        <v>519</v>
      </c>
      <c r="B466" s="19" t="n">
        <v>45526</v>
      </c>
      <c r="C466" s="18" t="s">
        <v>41</v>
      </c>
      <c r="D466" s="18" t="s">
        <v>86</v>
      </c>
      <c r="E466" s="18" t="s">
        <v>21</v>
      </c>
      <c r="F466" s="20" t="n">
        <v>71480</v>
      </c>
      <c r="G466" s="20" t="n">
        <v>15940.04</v>
      </c>
      <c r="H466" s="18" t="n">
        <v>4</v>
      </c>
      <c r="I466" s="20" t="n">
        <f aca="false">F466</f>
        <v>71480</v>
      </c>
      <c r="J466" s="22" t="n">
        <f aca="false">IFERROR(G466/F466,0)</f>
        <v>0.223</v>
      </c>
      <c r="K466" s="23" t="n">
        <f aca="false">MONTH(B466)</f>
        <v>8</v>
      </c>
    </row>
    <row r="467" customFormat="false" ht="15" hidden="false" customHeight="true" outlineLevel="0" collapsed="false">
      <c r="A467" s="18" t="s">
        <v>520</v>
      </c>
      <c r="B467" s="19" t="n">
        <v>45587</v>
      </c>
      <c r="C467" s="18" t="s">
        <v>39</v>
      </c>
      <c r="D467" s="18" t="s">
        <v>83</v>
      </c>
      <c r="E467" s="18" t="s">
        <v>21</v>
      </c>
      <c r="F467" s="20" t="n">
        <v>9644</v>
      </c>
      <c r="G467" s="20" t="n">
        <v>1157.28</v>
      </c>
      <c r="H467" s="18" t="n">
        <v>1</v>
      </c>
      <c r="I467" s="20" t="n">
        <f aca="false">F467</f>
        <v>9644</v>
      </c>
      <c r="J467" s="22" t="n">
        <f aca="false">IFERROR(G467/F467,0)</f>
        <v>0.12</v>
      </c>
      <c r="K467" s="23" t="n">
        <f aca="false">MONTH(B467)</f>
        <v>10</v>
      </c>
    </row>
    <row r="468" customFormat="false" ht="15" hidden="false" customHeight="true" outlineLevel="0" collapsed="false">
      <c r="A468" s="18" t="s">
        <v>521</v>
      </c>
      <c r="B468" s="19" t="n">
        <v>45536</v>
      </c>
      <c r="C468" s="18" t="s">
        <v>41</v>
      </c>
      <c r="D468" s="18" t="s">
        <v>93</v>
      </c>
      <c r="E468" s="18" t="s">
        <v>32</v>
      </c>
      <c r="F468" s="20" t="n">
        <v>52050</v>
      </c>
      <c r="G468" s="20" t="n">
        <v>6870.6</v>
      </c>
      <c r="H468" s="18" t="n">
        <v>10</v>
      </c>
      <c r="I468" s="20" t="n">
        <f aca="false">F468</f>
        <v>52050</v>
      </c>
      <c r="J468" s="22" t="n">
        <f aca="false">IFERROR(G468/F468,0)</f>
        <v>0.132</v>
      </c>
      <c r="K468" s="23" t="n">
        <f aca="false">MONTH(B468)</f>
        <v>9</v>
      </c>
    </row>
    <row r="469" customFormat="false" ht="15" hidden="false" customHeight="true" outlineLevel="0" collapsed="false">
      <c r="A469" s="18" t="s">
        <v>522</v>
      </c>
      <c r="B469" s="19" t="n">
        <v>45535</v>
      </c>
      <c r="C469" s="18" t="s">
        <v>27</v>
      </c>
      <c r="D469" s="18" t="s">
        <v>75</v>
      </c>
      <c r="E469" s="18" t="s">
        <v>29</v>
      </c>
      <c r="F469" s="20" t="n">
        <v>7904</v>
      </c>
      <c r="G469" s="20" t="n">
        <v>1043.33</v>
      </c>
      <c r="H469" s="18" t="n">
        <v>4</v>
      </c>
      <c r="I469" s="20" t="n">
        <f aca="false">F469</f>
        <v>7904</v>
      </c>
      <c r="J469" s="22" t="n">
        <f aca="false">IFERROR(G469/F469,0)</f>
        <v>0.132000253036437</v>
      </c>
      <c r="K469" s="23" t="n">
        <f aca="false">MONTH(B469)</f>
        <v>8</v>
      </c>
    </row>
    <row r="470" customFormat="false" ht="15" hidden="false" customHeight="true" outlineLevel="0" collapsed="false">
      <c r="A470" s="18" t="s">
        <v>523</v>
      </c>
      <c r="B470" s="19" t="n">
        <v>45364</v>
      </c>
      <c r="C470" s="18" t="s">
        <v>19</v>
      </c>
      <c r="D470" s="18" t="s">
        <v>91</v>
      </c>
      <c r="E470" s="18" t="s">
        <v>25</v>
      </c>
      <c r="F470" s="20" t="n">
        <v>4348</v>
      </c>
      <c r="G470" s="20" t="n">
        <v>952.21</v>
      </c>
      <c r="H470" s="18" t="n">
        <v>2</v>
      </c>
      <c r="I470" s="20" t="n">
        <f aca="false">F470</f>
        <v>4348</v>
      </c>
      <c r="J470" s="22" t="n">
        <f aca="false">IFERROR(G470/F470,0)</f>
        <v>0.218999540018399</v>
      </c>
      <c r="K470" s="23" t="n">
        <f aca="false">MONTH(B470)</f>
        <v>3</v>
      </c>
    </row>
    <row r="471" customFormat="false" ht="15" hidden="false" customHeight="true" outlineLevel="0" collapsed="false">
      <c r="A471" s="18" t="s">
        <v>524</v>
      </c>
      <c r="B471" s="19" t="n">
        <v>45446</v>
      </c>
      <c r="C471" s="18" t="s">
        <v>27</v>
      </c>
      <c r="D471" s="18" t="s">
        <v>42</v>
      </c>
      <c r="E471" s="18" t="s">
        <v>21</v>
      </c>
      <c r="F471" s="20" t="n">
        <v>62111</v>
      </c>
      <c r="G471" s="20" t="n">
        <v>11117.87</v>
      </c>
      <c r="H471" s="18" t="n">
        <v>7</v>
      </c>
      <c r="I471" s="20" t="n">
        <f aca="false">F471</f>
        <v>62111</v>
      </c>
      <c r="J471" s="22" t="n">
        <f aca="false">IFERROR(G471/F471,0)</f>
        <v>0.179000016100208</v>
      </c>
      <c r="K471" s="23" t="n">
        <f aca="false">MONTH(B471)</f>
        <v>6</v>
      </c>
    </row>
    <row r="472" customFormat="false" ht="15" hidden="false" customHeight="true" outlineLevel="0" collapsed="false">
      <c r="A472" s="18" t="s">
        <v>525</v>
      </c>
      <c r="B472" s="19" t="n">
        <v>45298</v>
      </c>
      <c r="C472" s="18" t="s">
        <v>41</v>
      </c>
      <c r="D472" s="18" t="s">
        <v>52</v>
      </c>
      <c r="E472" s="18" t="s">
        <v>32</v>
      </c>
      <c r="F472" s="20" t="n">
        <v>62800</v>
      </c>
      <c r="G472" s="20" t="n">
        <v>8101.2</v>
      </c>
      <c r="H472" s="18" t="n">
        <v>10</v>
      </c>
      <c r="I472" s="20" t="n">
        <f aca="false">F472</f>
        <v>62800</v>
      </c>
      <c r="J472" s="22" t="n">
        <f aca="false">IFERROR(G472/F472,0)</f>
        <v>0.129</v>
      </c>
      <c r="K472" s="23" t="n">
        <f aca="false">MONTH(B472)</f>
        <v>1</v>
      </c>
    </row>
    <row r="473" customFormat="false" ht="15" hidden="false" customHeight="true" outlineLevel="0" collapsed="false">
      <c r="A473" s="18" t="s">
        <v>526</v>
      </c>
      <c r="B473" s="19" t="n">
        <v>45573</v>
      </c>
      <c r="C473" s="18" t="s">
        <v>27</v>
      </c>
      <c r="D473" s="18" t="s">
        <v>88</v>
      </c>
      <c r="E473" s="18" t="s">
        <v>50</v>
      </c>
      <c r="F473" s="20" t="n">
        <v>360</v>
      </c>
      <c r="G473" s="20" t="n">
        <v>105.12</v>
      </c>
      <c r="H473" s="18" t="n">
        <v>4</v>
      </c>
      <c r="I473" s="20" t="n">
        <f aca="false">F473</f>
        <v>360</v>
      </c>
      <c r="J473" s="22" t="n">
        <f aca="false">IFERROR(G473/F473,0)</f>
        <v>0.292</v>
      </c>
      <c r="K473" s="23" t="n">
        <f aca="false">MONTH(B473)</f>
        <v>10</v>
      </c>
    </row>
    <row r="474" customFormat="false" ht="15" hidden="false" customHeight="true" outlineLevel="0" collapsed="false">
      <c r="A474" s="18" t="s">
        <v>527</v>
      </c>
      <c r="B474" s="19" t="n">
        <v>45317</v>
      </c>
      <c r="C474" s="18" t="s">
        <v>23</v>
      </c>
      <c r="D474" s="18" t="s">
        <v>91</v>
      </c>
      <c r="E474" s="18" t="s">
        <v>25</v>
      </c>
      <c r="F474" s="20" t="n">
        <v>36888</v>
      </c>
      <c r="G474" s="20" t="n">
        <v>12209.93</v>
      </c>
      <c r="H474" s="18" t="n">
        <v>8</v>
      </c>
      <c r="I474" s="20" t="n">
        <f aca="false">F474</f>
        <v>36888</v>
      </c>
      <c r="J474" s="22" t="n">
        <f aca="false">IFERROR(G474/F474,0)</f>
        <v>0.331000054218174</v>
      </c>
      <c r="K474" s="23" t="n">
        <f aca="false">MONTH(B474)</f>
        <v>1</v>
      </c>
    </row>
    <row r="475" customFormat="false" ht="15" hidden="false" customHeight="true" outlineLevel="0" collapsed="false">
      <c r="A475" s="18" t="s">
        <v>528</v>
      </c>
      <c r="B475" s="19" t="n">
        <v>45405</v>
      </c>
      <c r="C475" s="18" t="s">
        <v>39</v>
      </c>
      <c r="D475" s="18" t="s">
        <v>20</v>
      </c>
      <c r="E475" s="18" t="s">
        <v>21</v>
      </c>
      <c r="F475" s="20" t="n">
        <v>63686</v>
      </c>
      <c r="G475" s="20" t="n">
        <v>13310.37</v>
      </c>
      <c r="H475" s="18" t="n">
        <v>7</v>
      </c>
      <c r="I475" s="20" t="n">
        <f aca="false">F475</f>
        <v>63686</v>
      </c>
      <c r="J475" s="22" t="n">
        <f aca="false">IFERROR(G475/F475,0)</f>
        <v>0.208999937191848</v>
      </c>
      <c r="K475" s="23" t="n">
        <f aca="false">MONTH(B475)</f>
        <v>4</v>
      </c>
    </row>
    <row r="476" customFormat="false" ht="15" hidden="false" customHeight="true" outlineLevel="0" collapsed="false">
      <c r="A476" s="18" t="s">
        <v>529</v>
      </c>
      <c r="B476" s="19" t="n">
        <v>45573</v>
      </c>
      <c r="C476" s="18" t="s">
        <v>27</v>
      </c>
      <c r="D476" s="18" t="s">
        <v>64</v>
      </c>
      <c r="E476" s="18" t="s">
        <v>32</v>
      </c>
      <c r="F476" s="20" t="n">
        <v>56670</v>
      </c>
      <c r="G476" s="20" t="n">
        <v>6687.06</v>
      </c>
      <c r="H476" s="18" t="n">
        <v>2</v>
      </c>
      <c r="I476" s="20" t="n">
        <f aca="false">F476</f>
        <v>56670</v>
      </c>
      <c r="J476" s="22" t="n">
        <f aca="false">IFERROR(G476/F476,0)</f>
        <v>0.118</v>
      </c>
      <c r="K476" s="23" t="n">
        <f aca="false">MONTH(B476)</f>
        <v>10</v>
      </c>
    </row>
    <row r="477" customFormat="false" ht="15" hidden="false" customHeight="true" outlineLevel="0" collapsed="false">
      <c r="A477" s="18" t="s">
        <v>530</v>
      </c>
      <c r="B477" s="19" t="n">
        <v>45336</v>
      </c>
      <c r="C477" s="18" t="s">
        <v>41</v>
      </c>
      <c r="D477" s="18" t="s">
        <v>86</v>
      </c>
      <c r="E477" s="18" t="s">
        <v>21</v>
      </c>
      <c r="F477" s="20" t="n">
        <v>324583</v>
      </c>
      <c r="G477" s="20" t="n">
        <v>61021.6</v>
      </c>
      <c r="H477" s="18" t="n">
        <v>7</v>
      </c>
      <c r="I477" s="20" t="n">
        <f aca="false">F477</f>
        <v>324583</v>
      </c>
      <c r="J477" s="22" t="n">
        <f aca="false">IFERROR(G477/F477,0)</f>
        <v>0.187999987676496</v>
      </c>
      <c r="K477" s="23" t="n">
        <f aca="false">MONTH(B477)</f>
        <v>2</v>
      </c>
    </row>
    <row r="478" customFormat="false" ht="15" hidden="false" customHeight="true" outlineLevel="0" collapsed="false">
      <c r="A478" s="18" t="s">
        <v>531</v>
      </c>
      <c r="B478" s="19" t="n">
        <v>45395</v>
      </c>
      <c r="C478" s="18" t="s">
        <v>39</v>
      </c>
      <c r="D478" s="18" t="s">
        <v>36</v>
      </c>
      <c r="E478" s="18" t="s">
        <v>25</v>
      </c>
      <c r="F478" s="20" t="n">
        <v>23920</v>
      </c>
      <c r="G478" s="20" t="n">
        <v>4329.52</v>
      </c>
      <c r="H478" s="18" t="n">
        <v>10</v>
      </c>
      <c r="I478" s="20" t="n">
        <f aca="false">F478</f>
        <v>23920</v>
      </c>
      <c r="J478" s="22" t="n">
        <f aca="false">IFERROR(G478/F478,0)</f>
        <v>0.181</v>
      </c>
      <c r="K478" s="23" t="n">
        <f aca="false">MONTH(B478)</f>
        <v>4</v>
      </c>
    </row>
    <row r="479" customFormat="false" ht="15" hidden="false" customHeight="true" outlineLevel="0" collapsed="false">
      <c r="A479" s="18" t="s">
        <v>532</v>
      </c>
      <c r="B479" s="19" t="n">
        <v>45335</v>
      </c>
      <c r="C479" s="18" t="s">
        <v>39</v>
      </c>
      <c r="D479" s="18" t="s">
        <v>72</v>
      </c>
      <c r="E479" s="18" t="s">
        <v>29</v>
      </c>
      <c r="F479" s="20" t="n">
        <v>148300</v>
      </c>
      <c r="G479" s="20" t="n">
        <v>25507.6</v>
      </c>
      <c r="H479" s="18" t="n">
        <v>10</v>
      </c>
      <c r="I479" s="20" t="n">
        <f aca="false">F479</f>
        <v>148300</v>
      </c>
      <c r="J479" s="22" t="n">
        <f aca="false">IFERROR(G479/F479,0)</f>
        <v>0.172</v>
      </c>
      <c r="K479" s="23" t="n">
        <f aca="false">MONTH(B479)</f>
        <v>2</v>
      </c>
    </row>
    <row r="480" customFormat="false" ht="15" hidden="false" customHeight="true" outlineLevel="0" collapsed="false">
      <c r="A480" s="18" t="s">
        <v>533</v>
      </c>
      <c r="B480" s="19" t="n">
        <v>45615</v>
      </c>
      <c r="C480" s="18" t="s">
        <v>19</v>
      </c>
      <c r="D480" s="18" t="s">
        <v>75</v>
      </c>
      <c r="E480" s="18" t="s">
        <v>29</v>
      </c>
      <c r="F480" s="20" t="n">
        <v>16352</v>
      </c>
      <c r="G480" s="20" t="n">
        <v>2371.04</v>
      </c>
      <c r="H480" s="18" t="n">
        <v>7</v>
      </c>
      <c r="I480" s="20" t="n">
        <f aca="false">F480</f>
        <v>16352</v>
      </c>
      <c r="J480" s="22" t="n">
        <f aca="false">IFERROR(G480/F480,0)</f>
        <v>0.145</v>
      </c>
      <c r="K480" s="23" t="n">
        <f aca="false">MONTH(B480)</f>
        <v>11</v>
      </c>
    </row>
    <row r="481" customFormat="false" ht="15" hidden="false" customHeight="true" outlineLevel="0" collapsed="false">
      <c r="A481" s="18" t="s">
        <v>534</v>
      </c>
      <c r="B481" s="19" t="n">
        <v>45369</v>
      </c>
      <c r="C481" s="18" t="s">
        <v>39</v>
      </c>
      <c r="D481" s="18" t="s">
        <v>20</v>
      </c>
      <c r="E481" s="18" t="s">
        <v>21</v>
      </c>
      <c r="F481" s="20" t="n">
        <v>58224</v>
      </c>
      <c r="G481" s="20" t="n">
        <v>14439.55</v>
      </c>
      <c r="H481" s="18" t="n">
        <v>6</v>
      </c>
      <c r="I481" s="20" t="n">
        <f aca="false">F481</f>
        <v>58224</v>
      </c>
      <c r="J481" s="22" t="n">
        <f aca="false">IFERROR(G481/F481,0)</f>
        <v>0.247999965649904</v>
      </c>
      <c r="K481" s="23" t="n">
        <f aca="false">MONTH(B481)</f>
        <v>3</v>
      </c>
    </row>
    <row r="482" customFormat="false" ht="15" hidden="false" customHeight="true" outlineLevel="0" collapsed="false">
      <c r="A482" s="18" t="s">
        <v>535</v>
      </c>
      <c r="B482" s="19" t="n">
        <v>45517</v>
      </c>
      <c r="C482" s="18" t="s">
        <v>19</v>
      </c>
      <c r="D482" s="18" t="s">
        <v>49</v>
      </c>
      <c r="E482" s="18" t="s">
        <v>50</v>
      </c>
      <c r="F482" s="20" t="n">
        <v>370</v>
      </c>
      <c r="G482" s="20" t="n">
        <v>96.2</v>
      </c>
      <c r="H482" s="18" t="n">
        <v>10</v>
      </c>
      <c r="I482" s="20" t="n">
        <f aca="false">F482</f>
        <v>370</v>
      </c>
      <c r="J482" s="22" t="n">
        <f aca="false">IFERROR(G482/F482,0)</f>
        <v>0.26</v>
      </c>
      <c r="K482" s="23" t="n">
        <f aca="false">MONTH(B482)</f>
        <v>8</v>
      </c>
    </row>
    <row r="483" customFormat="false" ht="15" hidden="false" customHeight="true" outlineLevel="0" collapsed="false">
      <c r="A483" s="18" t="s">
        <v>536</v>
      </c>
      <c r="B483" s="19" t="n">
        <v>45380</v>
      </c>
      <c r="C483" s="18" t="s">
        <v>27</v>
      </c>
      <c r="D483" s="18" t="s">
        <v>36</v>
      </c>
      <c r="E483" s="18" t="s">
        <v>25</v>
      </c>
      <c r="F483" s="20" t="n">
        <v>3272</v>
      </c>
      <c r="G483" s="20" t="n">
        <v>873.62</v>
      </c>
      <c r="H483" s="18" t="n">
        <v>2</v>
      </c>
      <c r="I483" s="20" t="n">
        <f aca="false">F483</f>
        <v>3272</v>
      </c>
      <c r="J483" s="22" t="n">
        <f aca="false">IFERROR(G483/F483,0)</f>
        <v>0.266998777506112</v>
      </c>
      <c r="K483" s="23" t="n">
        <f aca="false">MONTH(B483)</f>
        <v>3</v>
      </c>
    </row>
    <row r="484" customFormat="false" ht="15" hidden="false" customHeight="true" outlineLevel="0" collapsed="false">
      <c r="A484" s="18" t="s">
        <v>537</v>
      </c>
      <c r="B484" s="19" t="n">
        <v>45541</v>
      </c>
      <c r="C484" s="18" t="s">
        <v>19</v>
      </c>
      <c r="D484" s="18" t="s">
        <v>44</v>
      </c>
      <c r="E484" s="18" t="s">
        <v>32</v>
      </c>
      <c r="F484" s="20" t="n">
        <v>53343</v>
      </c>
      <c r="G484" s="20" t="n">
        <v>8481.54</v>
      </c>
      <c r="H484" s="18" t="n">
        <v>9</v>
      </c>
      <c r="I484" s="20" t="n">
        <f aca="false">F484</f>
        <v>53343</v>
      </c>
      <c r="J484" s="22" t="n">
        <f aca="false">IFERROR(G484/F484,0)</f>
        <v>0.159000056239807</v>
      </c>
      <c r="K484" s="23" t="n">
        <f aca="false">MONTH(B484)</f>
        <v>9</v>
      </c>
    </row>
    <row r="485" customFormat="false" ht="15" hidden="false" customHeight="true" outlineLevel="0" collapsed="false">
      <c r="A485" s="18" t="s">
        <v>538</v>
      </c>
      <c r="B485" s="19" t="n">
        <v>45579</v>
      </c>
      <c r="C485" s="18" t="s">
        <v>27</v>
      </c>
      <c r="D485" s="18" t="s">
        <v>49</v>
      </c>
      <c r="E485" s="18" t="s">
        <v>50</v>
      </c>
      <c r="F485" s="20" t="n">
        <v>783</v>
      </c>
      <c r="G485" s="20" t="n">
        <v>177.74</v>
      </c>
      <c r="H485" s="18" t="n">
        <v>9</v>
      </c>
      <c r="I485" s="20" t="n">
        <f aca="false">F485</f>
        <v>783</v>
      </c>
      <c r="J485" s="22" t="n">
        <f aca="false">IFERROR(G485/F485,0)</f>
        <v>0.226998722860792</v>
      </c>
      <c r="K485" s="23" t="n">
        <f aca="false">MONTH(B485)</f>
        <v>10</v>
      </c>
    </row>
    <row r="486" customFormat="false" ht="15" hidden="false" customHeight="true" outlineLevel="0" collapsed="false">
      <c r="A486" s="18" t="s">
        <v>539</v>
      </c>
      <c r="B486" s="19" t="n">
        <v>45296</v>
      </c>
      <c r="C486" s="18" t="s">
        <v>39</v>
      </c>
      <c r="D486" s="18" t="s">
        <v>83</v>
      </c>
      <c r="E486" s="18" t="s">
        <v>21</v>
      </c>
      <c r="F486" s="20" t="n">
        <v>75040</v>
      </c>
      <c r="G486" s="20" t="n">
        <v>15983.52</v>
      </c>
      <c r="H486" s="18" t="n">
        <v>10</v>
      </c>
      <c r="I486" s="20" t="n">
        <f aca="false">F486</f>
        <v>75040</v>
      </c>
      <c r="J486" s="22" t="n">
        <f aca="false">IFERROR(G486/F486,0)</f>
        <v>0.213</v>
      </c>
      <c r="K486" s="23" t="n">
        <f aca="false">MONTH(B486)</f>
        <v>1</v>
      </c>
    </row>
    <row r="487" customFormat="false" ht="15" hidden="false" customHeight="true" outlineLevel="0" collapsed="false">
      <c r="A487" s="18" t="s">
        <v>540</v>
      </c>
      <c r="B487" s="19" t="n">
        <v>45511</v>
      </c>
      <c r="C487" s="18" t="s">
        <v>39</v>
      </c>
      <c r="D487" s="18" t="s">
        <v>106</v>
      </c>
      <c r="E487" s="18" t="s">
        <v>25</v>
      </c>
      <c r="F487" s="20" t="n">
        <v>6108</v>
      </c>
      <c r="G487" s="20" t="n">
        <v>1111.66</v>
      </c>
      <c r="H487" s="18" t="n">
        <v>3</v>
      </c>
      <c r="I487" s="20" t="n">
        <f aca="false">F487</f>
        <v>6108</v>
      </c>
      <c r="J487" s="22" t="n">
        <f aca="false">IFERROR(G487/F487,0)</f>
        <v>0.182000654878847</v>
      </c>
      <c r="K487" s="23" t="n">
        <f aca="false">MONTH(B487)</f>
        <v>8</v>
      </c>
    </row>
    <row r="488" customFormat="false" ht="15" hidden="false" customHeight="true" outlineLevel="0" collapsed="false">
      <c r="A488" s="18" t="s">
        <v>541</v>
      </c>
      <c r="B488" s="19" t="n">
        <v>45617</v>
      </c>
      <c r="C488" s="18" t="s">
        <v>41</v>
      </c>
      <c r="D488" s="18" t="s">
        <v>34</v>
      </c>
      <c r="E488" s="18" t="s">
        <v>25</v>
      </c>
      <c r="F488" s="20" t="n">
        <v>795</v>
      </c>
      <c r="G488" s="20" t="n">
        <v>178.08</v>
      </c>
      <c r="H488" s="18" t="n">
        <v>1</v>
      </c>
      <c r="I488" s="20" t="n">
        <f aca="false">F488</f>
        <v>795</v>
      </c>
      <c r="J488" s="22" t="n">
        <f aca="false">IFERROR(G488/F488,0)</f>
        <v>0.224</v>
      </c>
      <c r="K488" s="23" t="n">
        <f aca="false">MONTH(B488)</f>
        <v>11</v>
      </c>
    </row>
    <row r="489" customFormat="false" ht="15" hidden="false" customHeight="true" outlineLevel="0" collapsed="false">
      <c r="A489" s="18" t="s">
        <v>542</v>
      </c>
      <c r="B489" s="19" t="n">
        <v>45578</v>
      </c>
      <c r="C489" s="18" t="s">
        <v>23</v>
      </c>
      <c r="D489" s="18" t="s">
        <v>70</v>
      </c>
      <c r="E489" s="18" t="s">
        <v>21</v>
      </c>
      <c r="F489" s="20" t="n">
        <v>240600</v>
      </c>
      <c r="G489" s="20" t="n">
        <v>54375.6</v>
      </c>
      <c r="H489" s="18" t="n">
        <v>8</v>
      </c>
      <c r="I489" s="20" t="n">
        <f aca="false">F489</f>
        <v>240600</v>
      </c>
      <c r="J489" s="22" t="n">
        <f aca="false">IFERROR(G489/F489,0)</f>
        <v>0.226</v>
      </c>
      <c r="K489" s="23" t="n">
        <f aca="false">MONTH(B489)</f>
        <v>10</v>
      </c>
    </row>
    <row r="490" customFormat="false" ht="15" hidden="false" customHeight="true" outlineLevel="0" collapsed="false">
      <c r="A490" s="18" t="s">
        <v>543</v>
      </c>
      <c r="B490" s="19" t="n">
        <v>45560</v>
      </c>
      <c r="C490" s="18" t="s">
        <v>23</v>
      </c>
      <c r="D490" s="18" t="s">
        <v>36</v>
      </c>
      <c r="E490" s="18" t="s">
        <v>25</v>
      </c>
      <c r="F490" s="20" t="n">
        <v>18970</v>
      </c>
      <c r="G490" s="20" t="n">
        <v>5956.58</v>
      </c>
      <c r="H490" s="18" t="n">
        <v>7</v>
      </c>
      <c r="I490" s="20" t="n">
        <f aca="false">F490</f>
        <v>18970</v>
      </c>
      <c r="J490" s="22" t="n">
        <f aca="false">IFERROR(G490/F490,0)</f>
        <v>0.314</v>
      </c>
      <c r="K490" s="23" t="n">
        <f aca="false">MONTH(B490)</f>
        <v>9</v>
      </c>
    </row>
    <row r="491" customFormat="false" ht="15" hidden="false" customHeight="true" outlineLevel="0" collapsed="false">
      <c r="A491" s="18" t="s">
        <v>544</v>
      </c>
      <c r="B491" s="19" t="n">
        <v>45566</v>
      </c>
      <c r="C491" s="18" t="s">
        <v>39</v>
      </c>
      <c r="D491" s="18" t="s">
        <v>58</v>
      </c>
      <c r="E491" s="18" t="s">
        <v>50</v>
      </c>
      <c r="F491" s="20" t="n">
        <v>330</v>
      </c>
      <c r="G491" s="20" t="n">
        <v>96.36</v>
      </c>
      <c r="H491" s="18" t="n">
        <v>6</v>
      </c>
      <c r="I491" s="20" t="n">
        <f aca="false">F491</f>
        <v>330</v>
      </c>
      <c r="J491" s="22" t="n">
        <f aca="false">IFERROR(G491/F491,0)</f>
        <v>0.292</v>
      </c>
      <c r="K491" s="23" t="n">
        <f aca="false">MONTH(B491)</f>
        <v>10</v>
      </c>
    </row>
    <row r="492" customFormat="false" ht="15" hidden="false" customHeight="true" outlineLevel="0" collapsed="false">
      <c r="A492" s="18" t="s">
        <v>545</v>
      </c>
      <c r="B492" s="19" t="n">
        <v>45596</v>
      </c>
      <c r="C492" s="18" t="s">
        <v>41</v>
      </c>
      <c r="D492" s="18" t="s">
        <v>28</v>
      </c>
      <c r="E492" s="18" t="s">
        <v>29</v>
      </c>
      <c r="F492" s="20" t="n">
        <v>4958</v>
      </c>
      <c r="G492" s="20" t="n">
        <v>956.89</v>
      </c>
      <c r="H492" s="18" t="n">
        <v>1</v>
      </c>
      <c r="I492" s="20" t="n">
        <f aca="false">F492</f>
        <v>4958</v>
      </c>
      <c r="J492" s="22" t="n">
        <f aca="false">IFERROR(G492/F492,0)</f>
        <v>0.192999193223074</v>
      </c>
      <c r="K492" s="23" t="n">
        <f aca="false">MONTH(B492)</f>
        <v>10</v>
      </c>
    </row>
    <row r="493" customFormat="false" ht="15" hidden="false" customHeight="true" outlineLevel="0" collapsed="false">
      <c r="A493" s="18" t="s">
        <v>546</v>
      </c>
      <c r="B493" s="19" t="n">
        <v>45582</v>
      </c>
      <c r="C493" s="18" t="s">
        <v>41</v>
      </c>
      <c r="D493" s="18" t="s">
        <v>120</v>
      </c>
      <c r="E493" s="18" t="s">
        <v>29</v>
      </c>
      <c r="F493" s="20" t="n">
        <v>51375</v>
      </c>
      <c r="G493" s="20" t="n">
        <v>7449.37</v>
      </c>
      <c r="H493" s="18" t="n">
        <v>3</v>
      </c>
      <c r="I493" s="20" t="n">
        <f aca="false">F493</f>
        <v>51375</v>
      </c>
      <c r="J493" s="22" t="n">
        <f aca="false">IFERROR(G493/F493,0)</f>
        <v>0.144999902676399</v>
      </c>
      <c r="K493" s="23" t="n">
        <f aca="false">MONTH(B493)</f>
        <v>10</v>
      </c>
    </row>
    <row r="494" customFormat="false" ht="15" hidden="false" customHeight="true" outlineLevel="0" collapsed="false">
      <c r="A494" s="18" t="s">
        <v>547</v>
      </c>
      <c r="B494" s="19" t="n">
        <v>45620</v>
      </c>
      <c r="C494" s="18" t="s">
        <v>23</v>
      </c>
      <c r="D494" s="18" t="s">
        <v>28</v>
      </c>
      <c r="E494" s="18" t="s">
        <v>29</v>
      </c>
      <c r="F494" s="20" t="n">
        <v>24792</v>
      </c>
      <c r="G494" s="20" t="n">
        <v>4586.52</v>
      </c>
      <c r="H494" s="18" t="n">
        <v>8</v>
      </c>
      <c r="I494" s="20" t="n">
        <f aca="false">F494</f>
        <v>24792</v>
      </c>
      <c r="J494" s="22" t="n">
        <f aca="false">IFERROR(G494/F494,0)</f>
        <v>0.185</v>
      </c>
      <c r="K494" s="23" t="n">
        <f aca="false">MONTH(B494)</f>
        <v>11</v>
      </c>
    </row>
    <row r="495" customFormat="false" ht="15" hidden="false" customHeight="true" outlineLevel="0" collapsed="false">
      <c r="A495" s="18" t="s">
        <v>548</v>
      </c>
      <c r="B495" s="19" t="n">
        <v>45451</v>
      </c>
      <c r="C495" s="18" t="s">
        <v>19</v>
      </c>
      <c r="D495" s="18" t="s">
        <v>96</v>
      </c>
      <c r="E495" s="18" t="s">
        <v>50</v>
      </c>
      <c r="F495" s="20" t="n">
        <v>298</v>
      </c>
      <c r="G495" s="20" t="n">
        <v>111.45</v>
      </c>
      <c r="H495" s="18" t="n">
        <v>2</v>
      </c>
      <c r="I495" s="20" t="n">
        <f aca="false">F495</f>
        <v>298</v>
      </c>
      <c r="J495" s="22" t="n">
        <f aca="false">IFERROR(G495/F495,0)</f>
        <v>0.373993288590604</v>
      </c>
      <c r="K495" s="23" t="n">
        <f aca="false">MONTH(B495)</f>
        <v>6</v>
      </c>
    </row>
    <row r="496" customFormat="false" ht="15" hidden="false" customHeight="true" outlineLevel="0" collapsed="false">
      <c r="A496" s="18" t="s">
        <v>549</v>
      </c>
      <c r="B496" s="19" t="n">
        <v>45649</v>
      </c>
      <c r="C496" s="18" t="s">
        <v>19</v>
      </c>
      <c r="D496" s="18" t="s">
        <v>46</v>
      </c>
      <c r="E496" s="18" t="s">
        <v>29</v>
      </c>
      <c r="F496" s="20" t="n">
        <v>9261</v>
      </c>
      <c r="G496" s="20" t="n">
        <v>1805.89</v>
      </c>
      <c r="H496" s="18" t="n">
        <v>1</v>
      </c>
      <c r="I496" s="20" t="n">
        <f aca="false">F496</f>
        <v>9261</v>
      </c>
      <c r="J496" s="22" t="n">
        <f aca="false">IFERROR(G496/F496,0)</f>
        <v>0.194999460101501</v>
      </c>
      <c r="K496" s="23" t="n">
        <f aca="false">MONTH(B496)</f>
        <v>12</v>
      </c>
    </row>
    <row r="497" customFormat="false" ht="15" hidden="false" customHeight="true" outlineLevel="0" collapsed="false">
      <c r="A497" s="18" t="s">
        <v>550</v>
      </c>
      <c r="B497" s="19" t="n">
        <v>45514</v>
      </c>
      <c r="C497" s="18" t="s">
        <v>41</v>
      </c>
      <c r="D497" s="18" t="s">
        <v>36</v>
      </c>
      <c r="E497" s="18" t="s">
        <v>25</v>
      </c>
      <c r="F497" s="20" t="n">
        <v>10268</v>
      </c>
      <c r="G497" s="20" t="n">
        <v>1879.04</v>
      </c>
      <c r="H497" s="18" t="n">
        <v>2</v>
      </c>
      <c r="I497" s="20" t="n">
        <f aca="false">F497</f>
        <v>10268</v>
      </c>
      <c r="J497" s="22" t="n">
        <f aca="false">IFERROR(G497/F497,0)</f>
        <v>0.182999610440203</v>
      </c>
      <c r="K497" s="23" t="n">
        <f aca="false">MONTH(B497)</f>
        <v>8</v>
      </c>
    </row>
    <row r="498" customFormat="false" ht="15" hidden="false" customHeight="true" outlineLevel="0" collapsed="false">
      <c r="A498" s="18" t="s">
        <v>551</v>
      </c>
      <c r="B498" s="19" t="n">
        <v>45389</v>
      </c>
      <c r="C498" s="18" t="s">
        <v>19</v>
      </c>
      <c r="D498" s="18" t="s">
        <v>52</v>
      </c>
      <c r="E498" s="18" t="s">
        <v>32</v>
      </c>
      <c r="F498" s="20" t="n">
        <v>8260</v>
      </c>
      <c r="G498" s="20" t="n">
        <v>1428.98</v>
      </c>
      <c r="H498" s="18" t="n">
        <v>7</v>
      </c>
      <c r="I498" s="20" t="n">
        <f aca="false">F498</f>
        <v>8260</v>
      </c>
      <c r="J498" s="22" t="n">
        <f aca="false">IFERROR(G498/F498,0)</f>
        <v>0.173</v>
      </c>
      <c r="K498" s="23" t="n">
        <f aca="false">MONTH(B498)</f>
        <v>4</v>
      </c>
    </row>
    <row r="499" customFormat="false" ht="15" hidden="false" customHeight="true" outlineLevel="0" collapsed="false">
      <c r="A499" s="18" t="s">
        <v>552</v>
      </c>
      <c r="B499" s="19" t="n">
        <v>45464</v>
      </c>
      <c r="C499" s="18" t="s">
        <v>27</v>
      </c>
      <c r="D499" s="18" t="s">
        <v>34</v>
      </c>
      <c r="E499" s="18" t="s">
        <v>25</v>
      </c>
      <c r="F499" s="20" t="n">
        <v>3003</v>
      </c>
      <c r="G499" s="20" t="n">
        <v>1048.05</v>
      </c>
      <c r="H499" s="18" t="n">
        <v>3</v>
      </c>
      <c r="I499" s="20" t="n">
        <f aca="false">F499</f>
        <v>3003</v>
      </c>
      <c r="J499" s="22" t="n">
        <f aca="false">IFERROR(G499/F499,0)</f>
        <v>0.349000999000999</v>
      </c>
      <c r="K499" s="23" t="n">
        <f aca="false">MONTH(B499)</f>
        <v>6</v>
      </c>
    </row>
    <row r="500" customFormat="false" ht="15" hidden="false" customHeight="true" outlineLevel="0" collapsed="false">
      <c r="A500" s="18" t="s">
        <v>553</v>
      </c>
      <c r="B500" s="19" t="n">
        <v>45533</v>
      </c>
      <c r="C500" s="18" t="s">
        <v>41</v>
      </c>
      <c r="D500" s="18" t="s">
        <v>86</v>
      </c>
      <c r="E500" s="18" t="s">
        <v>21</v>
      </c>
      <c r="F500" s="20" t="n">
        <v>187565</v>
      </c>
      <c r="G500" s="20" t="n">
        <v>41264.3</v>
      </c>
      <c r="H500" s="18" t="n">
        <v>7</v>
      </c>
      <c r="I500" s="20" t="n">
        <f aca="false">F500</f>
        <v>187565</v>
      </c>
      <c r="J500" s="22" t="n">
        <f aca="false">IFERROR(G500/F500,0)</f>
        <v>0.22</v>
      </c>
      <c r="K500" s="23" t="n">
        <f aca="false">MONTH(B500)</f>
        <v>8</v>
      </c>
    </row>
    <row r="501" customFormat="false" ht="15" hidden="false" customHeight="true" outlineLevel="0" collapsed="false">
      <c r="A501" s="18" t="s">
        <v>554</v>
      </c>
      <c r="B501" s="19" t="n">
        <v>45410</v>
      </c>
      <c r="C501" s="18" t="s">
        <v>19</v>
      </c>
      <c r="D501" s="18" t="s">
        <v>106</v>
      </c>
      <c r="E501" s="18" t="s">
        <v>25</v>
      </c>
      <c r="F501" s="20" t="n">
        <v>13295</v>
      </c>
      <c r="G501" s="20" t="n">
        <v>2180.38</v>
      </c>
      <c r="H501" s="18" t="n">
        <v>5</v>
      </c>
      <c r="I501" s="20" t="n">
        <f aca="false">F501</f>
        <v>13295</v>
      </c>
      <c r="J501" s="22" t="n">
        <f aca="false">IFERROR(G501/F501,0)</f>
        <v>0.164</v>
      </c>
      <c r="K501" s="23" t="n">
        <f aca="false">MONTH(B501)</f>
        <v>4</v>
      </c>
    </row>
    <row r="502" customFormat="false" ht="15" hidden="false" customHeight="true" outlineLevel="0" collapsed="false">
      <c r="A502" s="18" t="s">
        <v>555</v>
      </c>
      <c r="B502" s="19" t="n">
        <v>45325</v>
      </c>
      <c r="C502" s="18" t="s">
        <v>39</v>
      </c>
      <c r="D502" s="18" t="s">
        <v>83</v>
      </c>
      <c r="E502" s="18" t="s">
        <v>21</v>
      </c>
      <c r="F502" s="20" t="n">
        <v>114840</v>
      </c>
      <c r="G502" s="20" t="n">
        <v>24460.92</v>
      </c>
      <c r="H502" s="18" t="n">
        <v>10</v>
      </c>
      <c r="I502" s="20" t="n">
        <f aca="false">F502</f>
        <v>114840</v>
      </c>
      <c r="J502" s="22" t="n">
        <f aca="false">IFERROR(G502/F502,0)</f>
        <v>0.213</v>
      </c>
      <c r="K502" s="23" t="n">
        <f aca="false">MONTH(B502)</f>
        <v>2</v>
      </c>
    </row>
    <row r="503" customFormat="false" ht="15" hidden="false" customHeight="true" outlineLevel="0" collapsed="false">
      <c r="A503" s="18" t="s">
        <v>556</v>
      </c>
      <c r="B503" s="19" t="n">
        <v>45567</v>
      </c>
      <c r="C503" s="18" t="s">
        <v>39</v>
      </c>
      <c r="D503" s="18" t="s">
        <v>58</v>
      </c>
      <c r="E503" s="18" t="s">
        <v>50</v>
      </c>
      <c r="F503" s="20" t="n">
        <v>266</v>
      </c>
      <c r="G503" s="20" t="n">
        <v>103.74</v>
      </c>
      <c r="H503" s="18" t="n">
        <v>7</v>
      </c>
      <c r="I503" s="20" t="n">
        <f aca="false">F503</f>
        <v>266</v>
      </c>
      <c r="J503" s="22" t="n">
        <f aca="false">IFERROR(G503/F503,0)</f>
        <v>0.39</v>
      </c>
      <c r="K503" s="23" t="n">
        <f aca="false">MONTH(B503)</f>
        <v>10</v>
      </c>
    </row>
    <row r="504" customFormat="false" ht="15" hidden="false" customHeight="true" outlineLevel="0" collapsed="false">
      <c r="A504" s="18" t="s">
        <v>557</v>
      </c>
      <c r="B504" s="19" t="n">
        <v>45321</v>
      </c>
      <c r="C504" s="18" t="s">
        <v>19</v>
      </c>
      <c r="D504" s="18" t="s">
        <v>86</v>
      </c>
      <c r="E504" s="18" t="s">
        <v>21</v>
      </c>
      <c r="F504" s="20" t="n">
        <v>114496</v>
      </c>
      <c r="G504" s="20" t="n">
        <v>26563.07</v>
      </c>
      <c r="H504" s="18" t="n">
        <v>2</v>
      </c>
      <c r="I504" s="20" t="n">
        <f aca="false">F504</f>
        <v>114496</v>
      </c>
      <c r="J504" s="22" t="n">
        <f aca="false">IFERROR(G504/F504,0)</f>
        <v>0.231999982532141</v>
      </c>
      <c r="K504" s="23" t="n">
        <f aca="false">MONTH(B504)</f>
        <v>1</v>
      </c>
    </row>
    <row r="505" customFormat="false" ht="15" hidden="false" customHeight="true" outlineLevel="0" collapsed="false">
      <c r="A505" s="18" t="s">
        <v>558</v>
      </c>
      <c r="B505" s="19" t="n">
        <v>45483</v>
      </c>
      <c r="C505" s="18" t="s">
        <v>41</v>
      </c>
      <c r="D505" s="18" t="s">
        <v>70</v>
      </c>
      <c r="E505" s="18" t="s">
        <v>21</v>
      </c>
      <c r="F505" s="20" t="n">
        <v>146196</v>
      </c>
      <c r="G505" s="20" t="n">
        <v>17835.91</v>
      </c>
      <c r="H505" s="18" t="n">
        <v>9</v>
      </c>
      <c r="I505" s="20" t="n">
        <f aca="false">F505</f>
        <v>146196</v>
      </c>
      <c r="J505" s="22" t="n">
        <f aca="false">IFERROR(G505/F505,0)</f>
        <v>0.121999986319735</v>
      </c>
      <c r="K505" s="23" t="n">
        <f aca="false">MONTH(B505)</f>
        <v>7</v>
      </c>
    </row>
    <row r="506" customFormat="false" ht="15" hidden="false" customHeight="true" outlineLevel="0" collapsed="false">
      <c r="A506" s="18" t="s">
        <v>559</v>
      </c>
      <c r="B506" s="19" t="n">
        <v>45453</v>
      </c>
      <c r="C506" s="18" t="s">
        <v>19</v>
      </c>
      <c r="D506" s="18" t="s">
        <v>70</v>
      </c>
      <c r="E506" s="18" t="s">
        <v>21</v>
      </c>
      <c r="F506" s="20" t="n">
        <v>70628</v>
      </c>
      <c r="G506" s="20" t="n">
        <v>12218.64</v>
      </c>
      <c r="H506" s="18" t="n">
        <v>2</v>
      </c>
      <c r="I506" s="20" t="n">
        <f aca="false">F506</f>
        <v>70628</v>
      </c>
      <c r="J506" s="22" t="n">
        <f aca="false">IFERROR(G506/F506,0)</f>
        <v>0.172999943365238</v>
      </c>
      <c r="K506" s="23" t="n">
        <f aca="false">MONTH(B506)</f>
        <v>6</v>
      </c>
    </row>
    <row r="507" customFormat="false" ht="15" hidden="false" customHeight="true" outlineLevel="0" collapsed="false">
      <c r="A507" s="18" t="s">
        <v>560</v>
      </c>
      <c r="B507" s="19" t="n">
        <v>45492</v>
      </c>
      <c r="C507" s="18" t="s">
        <v>39</v>
      </c>
      <c r="D507" s="18" t="s">
        <v>120</v>
      </c>
      <c r="E507" s="18" t="s">
        <v>29</v>
      </c>
      <c r="F507" s="20" t="n">
        <v>22144</v>
      </c>
      <c r="G507" s="20" t="n">
        <v>3454.46</v>
      </c>
      <c r="H507" s="18" t="n">
        <v>2</v>
      </c>
      <c r="I507" s="20" t="n">
        <f aca="false">F507</f>
        <v>22144</v>
      </c>
      <c r="J507" s="22" t="n">
        <f aca="false">IFERROR(G507/F507,0)</f>
        <v>0.155999819364162</v>
      </c>
      <c r="K507" s="23" t="n">
        <f aca="false">MONTH(B507)</f>
        <v>7</v>
      </c>
    </row>
    <row r="508" customFormat="false" ht="15" hidden="false" customHeight="true" outlineLevel="0" collapsed="false">
      <c r="A508" s="18" t="s">
        <v>561</v>
      </c>
      <c r="B508" s="19" t="n">
        <v>45429</v>
      </c>
      <c r="C508" s="18" t="s">
        <v>39</v>
      </c>
      <c r="D508" s="18" t="s">
        <v>88</v>
      </c>
      <c r="E508" s="18" t="s">
        <v>50</v>
      </c>
      <c r="F508" s="20" t="n">
        <v>747</v>
      </c>
      <c r="G508" s="20" t="n">
        <v>196.46</v>
      </c>
      <c r="H508" s="18" t="n">
        <v>3</v>
      </c>
      <c r="I508" s="20" t="n">
        <f aca="false">F508</f>
        <v>747</v>
      </c>
      <c r="J508" s="22" t="n">
        <f aca="false">IFERROR(G508/F508,0)</f>
        <v>0.262998661311914</v>
      </c>
      <c r="K508" s="23" t="n">
        <f aca="false">MONTH(B508)</f>
        <v>5</v>
      </c>
    </row>
    <row r="509" customFormat="false" ht="15" hidden="false" customHeight="true" outlineLevel="0" collapsed="false">
      <c r="A509" s="18" t="s">
        <v>562</v>
      </c>
      <c r="B509" s="19" t="n">
        <v>45605</v>
      </c>
      <c r="C509" s="18" t="s">
        <v>19</v>
      </c>
      <c r="D509" s="18" t="s">
        <v>106</v>
      </c>
      <c r="E509" s="18" t="s">
        <v>25</v>
      </c>
      <c r="F509" s="20" t="n">
        <v>12952</v>
      </c>
      <c r="G509" s="20" t="n">
        <v>2266.6</v>
      </c>
      <c r="H509" s="18" t="n">
        <v>8</v>
      </c>
      <c r="I509" s="20" t="n">
        <f aca="false">F509</f>
        <v>12952</v>
      </c>
      <c r="J509" s="22" t="n">
        <f aca="false">IFERROR(G509/F509,0)</f>
        <v>0.175</v>
      </c>
      <c r="K509" s="23" t="n">
        <f aca="false">MONTH(B509)</f>
        <v>11</v>
      </c>
    </row>
    <row r="510" customFormat="false" ht="15" hidden="false" customHeight="true" outlineLevel="0" collapsed="false">
      <c r="A510" s="18" t="s">
        <v>563</v>
      </c>
      <c r="B510" s="19" t="n">
        <v>45587</v>
      </c>
      <c r="C510" s="18" t="s">
        <v>19</v>
      </c>
      <c r="D510" s="18" t="s">
        <v>20</v>
      </c>
      <c r="E510" s="18" t="s">
        <v>21</v>
      </c>
      <c r="F510" s="20" t="n">
        <v>33489</v>
      </c>
      <c r="G510" s="20" t="n">
        <v>8338.76</v>
      </c>
      <c r="H510" s="18" t="n">
        <v>3</v>
      </c>
      <c r="I510" s="20" t="n">
        <f aca="false">F510</f>
        <v>33489</v>
      </c>
      <c r="J510" s="22" t="n">
        <f aca="false">IFERROR(G510/F510,0)</f>
        <v>0.248999970139449</v>
      </c>
      <c r="K510" s="23" t="n">
        <f aca="false">MONTH(B510)</f>
        <v>10</v>
      </c>
    </row>
    <row r="511" customFormat="false" ht="15" hidden="false" customHeight="true" outlineLevel="0" collapsed="false">
      <c r="A511" s="18" t="s">
        <v>564</v>
      </c>
      <c r="B511" s="19" t="n">
        <v>45468</v>
      </c>
      <c r="C511" s="18" t="s">
        <v>23</v>
      </c>
      <c r="D511" s="18" t="s">
        <v>86</v>
      </c>
      <c r="E511" s="18" t="s">
        <v>21</v>
      </c>
      <c r="F511" s="20" t="n">
        <v>219730</v>
      </c>
      <c r="G511" s="20" t="n">
        <v>39331.67</v>
      </c>
      <c r="H511" s="18" t="n">
        <v>7</v>
      </c>
      <c r="I511" s="20" t="n">
        <f aca="false">F511</f>
        <v>219730</v>
      </c>
      <c r="J511" s="22" t="n">
        <f aca="false">IFERROR(G511/F511,0)</f>
        <v>0.179</v>
      </c>
      <c r="K511" s="23" t="n">
        <f aca="false">MONTH(B511)</f>
        <v>6</v>
      </c>
    </row>
    <row r="512" customFormat="false" ht="15" hidden="false" customHeight="true" outlineLevel="0" collapsed="false">
      <c r="A512" s="18" t="s">
        <v>565</v>
      </c>
      <c r="B512" s="19" t="n">
        <v>45476</v>
      </c>
      <c r="C512" s="18" t="s">
        <v>23</v>
      </c>
      <c r="D512" s="18" t="s">
        <v>120</v>
      </c>
      <c r="E512" s="18" t="s">
        <v>29</v>
      </c>
      <c r="F512" s="20" t="n">
        <v>15582</v>
      </c>
      <c r="G512" s="20" t="n">
        <v>2758.01</v>
      </c>
      <c r="H512" s="18" t="n">
        <v>2</v>
      </c>
      <c r="I512" s="20" t="n">
        <f aca="false">F512</f>
        <v>15582</v>
      </c>
      <c r="J512" s="22" t="n">
        <f aca="false">IFERROR(G512/F512,0)</f>
        <v>0.176999743293544</v>
      </c>
      <c r="K512" s="23" t="n">
        <f aca="false">MONTH(B512)</f>
        <v>7</v>
      </c>
    </row>
    <row r="513" customFormat="false" ht="15" hidden="false" customHeight="true" outlineLevel="0" collapsed="false">
      <c r="A513" s="18" t="s">
        <v>566</v>
      </c>
      <c r="B513" s="19" t="n">
        <v>45603</v>
      </c>
      <c r="C513" s="18" t="s">
        <v>23</v>
      </c>
      <c r="D513" s="18" t="s">
        <v>49</v>
      </c>
      <c r="E513" s="18" t="s">
        <v>50</v>
      </c>
      <c r="F513" s="20" t="n">
        <v>112</v>
      </c>
      <c r="G513" s="20" t="n">
        <v>27.78</v>
      </c>
      <c r="H513" s="18" t="n">
        <v>2</v>
      </c>
      <c r="I513" s="20" t="n">
        <f aca="false">F513</f>
        <v>112</v>
      </c>
      <c r="J513" s="22" t="n">
        <f aca="false">IFERROR(G513/F513,0)</f>
        <v>0.248035714285714</v>
      </c>
      <c r="K513" s="23" t="n">
        <f aca="false">MONTH(B513)</f>
        <v>11</v>
      </c>
    </row>
    <row r="514" customFormat="false" ht="15" hidden="false" customHeight="true" outlineLevel="0" collapsed="false">
      <c r="A514" s="18" t="s">
        <v>567</v>
      </c>
      <c r="B514" s="19" t="n">
        <v>45432</v>
      </c>
      <c r="C514" s="18" t="s">
        <v>19</v>
      </c>
      <c r="D514" s="18" t="s">
        <v>62</v>
      </c>
      <c r="E514" s="18" t="s">
        <v>50</v>
      </c>
      <c r="F514" s="20" t="n">
        <v>144</v>
      </c>
      <c r="G514" s="20" t="n">
        <v>46.51</v>
      </c>
      <c r="H514" s="18" t="n">
        <v>3</v>
      </c>
      <c r="I514" s="20" t="n">
        <f aca="false">F514</f>
        <v>144</v>
      </c>
      <c r="J514" s="22" t="n">
        <f aca="false">IFERROR(G514/F514,0)</f>
        <v>0.322986111111111</v>
      </c>
      <c r="K514" s="23" t="n">
        <f aca="false">MONTH(B514)</f>
        <v>5</v>
      </c>
    </row>
    <row r="515" customFormat="false" ht="15" hidden="false" customHeight="true" outlineLevel="0" collapsed="false">
      <c r="A515" s="18" t="s">
        <v>568</v>
      </c>
      <c r="B515" s="19" t="n">
        <v>45573</v>
      </c>
      <c r="C515" s="18" t="s">
        <v>41</v>
      </c>
      <c r="D515" s="18" t="s">
        <v>91</v>
      </c>
      <c r="E515" s="18" t="s">
        <v>25</v>
      </c>
      <c r="F515" s="20" t="n">
        <v>32808</v>
      </c>
      <c r="G515" s="20" t="n">
        <v>6299.14</v>
      </c>
      <c r="H515" s="18" t="n">
        <v>8</v>
      </c>
      <c r="I515" s="20" t="n">
        <f aca="false">F515</f>
        <v>32808</v>
      </c>
      <c r="J515" s="22" t="n">
        <f aca="false">IFERROR(G515/F515,0)</f>
        <v>0.192000121921483</v>
      </c>
      <c r="K515" s="23" t="n">
        <f aca="false">MONTH(B515)</f>
        <v>10</v>
      </c>
    </row>
    <row r="516" customFormat="false" ht="15" hidden="false" customHeight="true" outlineLevel="0" collapsed="false">
      <c r="A516" s="18" t="s">
        <v>569</v>
      </c>
      <c r="B516" s="19" t="n">
        <v>45465</v>
      </c>
      <c r="C516" s="18" t="s">
        <v>41</v>
      </c>
      <c r="D516" s="18" t="s">
        <v>42</v>
      </c>
      <c r="E516" s="18" t="s">
        <v>21</v>
      </c>
      <c r="F516" s="20" t="n">
        <v>28464</v>
      </c>
      <c r="G516" s="20" t="n">
        <v>5408.16</v>
      </c>
      <c r="H516" s="18" t="n">
        <v>4</v>
      </c>
      <c r="I516" s="20" t="n">
        <f aca="false">F516</f>
        <v>28464</v>
      </c>
      <c r="J516" s="22" t="n">
        <f aca="false">IFERROR(G516/F516,0)</f>
        <v>0.19</v>
      </c>
      <c r="K516" s="23" t="n">
        <f aca="false">MONTH(B516)</f>
        <v>6</v>
      </c>
    </row>
    <row r="517" customFormat="false" ht="15" hidden="false" customHeight="true" outlineLevel="0" collapsed="false">
      <c r="A517" s="18" t="s">
        <v>570</v>
      </c>
      <c r="B517" s="19" t="n">
        <v>45295</v>
      </c>
      <c r="C517" s="18" t="s">
        <v>23</v>
      </c>
      <c r="D517" s="18" t="s">
        <v>55</v>
      </c>
      <c r="E517" s="18" t="s">
        <v>32</v>
      </c>
      <c r="F517" s="20" t="n">
        <v>149820</v>
      </c>
      <c r="G517" s="20" t="n">
        <v>22473</v>
      </c>
      <c r="H517" s="18" t="n">
        <v>10</v>
      </c>
      <c r="I517" s="20" t="n">
        <f aca="false">F517</f>
        <v>149820</v>
      </c>
      <c r="J517" s="22" t="n">
        <f aca="false">IFERROR(G517/F517,0)</f>
        <v>0.15</v>
      </c>
      <c r="K517" s="23" t="n">
        <f aca="false">MONTH(B517)</f>
        <v>1</v>
      </c>
    </row>
    <row r="518" customFormat="false" ht="15" hidden="false" customHeight="true" outlineLevel="0" collapsed="false">
      <c r="A518" s="18" t="s">
        <v>571</v>
      </c>
      <c r="B518" s="19" t="n">
        <v>45367</v>
      </c>
      <c r="C518" s="18" t="s">
        <v>41</v>
      </c>
      <c r="D518" s="18" t="s">
        <v>44</v>
      </c>
      <c r="E518" s="18" t="s">
        <v>32</v>
      </c>
      <c r="F518" s="20" t="n">
        <v>11870</v>
      </c>
      <c r="G518" s="20" t="n">
        <v>1566.84</v>
      </c>
      <c r="H518" s="18" t="n">
        <v>5</v>
      </c>
      <c r="I518" s="20" t="n">
        <f aca="false">F518</f>
        <v>11870</v>
      </c>
      <c r="J518" s="22" t="n">
        <f aca="false">IFERROR(G518/F518,0)</f>
        <v>0.132</v>
      </c>
      <c r="K518" s="23" t="n">
        <f aca="false">MONTH(B518)</f>
        <v>3</v>
      </c>
    </row>
    <row r="519" customFormat="false" ht="15" hidden="false" customHeight="true" outlineLevel="0" collapsed="false">
      <c r="A519" s="18" t="s">
        <v>572</v>
      </c>
      <c r="B519" s="19" t="n">
        <v>45365</v>
      </c>
      <c r="C519" s="18" t="s">
        <v>39</v>
      </c>
      <c r="D519" s="18" t="s">
        <v>120</v>
      </c>
      <c r="E519" s="18" t="s">
        <v>29</v>
      </c>
      <c r="F519" s="20" t="n">
        <v>113184</v>
      </c>
      <c r="G519" s="20" t="n">
        <v>16977.6</v>
      </c>
      <c r="H519" s="18" t="n">
        <v>9</v>
      </c>
      <c r="I519" s="20" t="n">
        <f aca="false">F519</f>
        <v>113184</v>
      </c>
      <c r="J519" s="22" t="n">
        <f aca="false">IFERROR(G519/F519,0)</f>
        <v>0.15</v>
      </c>
      <c r="K519" s="23" t="n">
        <f aca="false">MONTH(B519)</f>
        <v>3</v>
      </c>
    </row>
    <row r="520" customFormat="false" ht="15" hidden="false" customHeight="true" outlineLevel="0" collapsed="false">
      <c r="A520" s="18" t="s">
        <v>573</v>
      </c>
      <c r="B520" s="19" t="n">
        <v>45657</v>
      </c>
      <c r="C520" s="18" t="s">
        <v>41</v>
      </c>
      <c r="D520" s="18" t="s">
        <v>58</v>
      </c>
      <c r="E520" s="18" t="s">
        <v>50</v>
      </c>
      <c r="F520" s="20" t="n">
        <v>904</v>
      </c>
      <c r="G520" s="20" t="n">
        <v>226.9</v>
      </c>
      <c r="H520" s="18" t="n">
        <v>8</v>
      </c>
      <c r="I520" s="20" t="n">
        <f aca="false">F520</f>
        <v>904</v>
      </c>
      <c r="J520" s="22" t="n">
        <f aca="false">IFERROR(G520/F520,0)</f>
        <v>0.250995575221239</v>
      </c>
      <c r="K520" s="23" t="n">
        <f aca="false">MONTH(B520)</f>
        <v>12</v>
      </c>
    </row>
    <row r="521" customFormat="false" ht="15" hidden="false" customHeight="true" outlineLevel="0" collapsed="false">
      <c r="A521" s="18" t="s">
        <v>574</v>
      </c>
      <c r="B521" s="19" t="n">
        <v>45562</v>
      </c>
      <c r="C521" s="18" t="s">
        <v>19</v>
      </c>
      <c r="D521" s="18" t="s">
        <v>72</v>
      </c>
      <c r="E521" s="18" t="s">
        <v>29</v>
      </c>
      <c r="F521" s="20" t="n">
        <v>6876</v>
      </c>
      <c r="G521" s="20" t="n">
        <v>1155.17</v>
      </c>
      <c r="H521" s="18" t="n">
        <v>1</v>
      </c>
      <c r="I521" s="20" t="n">
        <f aca="false">F521</f>
        <v>6876</v>
      </c>
      <c r="J521" s="22" t="n">
        <f aca="false">IFERROR(G521/F521,0)</f>
        <v>0.168000290866783</v>
      </c>
      <c r="K521" s="23" t="n">
        <f aca="false">MONTH(B521)</f>
        <v>9</v>
      </c>
    </row>
    <row r="522" customFormat="false" ht="15" hidden="false" customHeight="true" outlineLevel="0" collapsed="false">
      <c r="A522" s="18" t="s">
        <v>575</v>
      </c>
      <c r="B522" s="19" t="n">
        <v>45629</v>
      </c>
      <c r="C522" s="18" t="s">
        <v>27</v>
      </c>
      <c r="D522" s="18" t="s">
        <v>83</v>
      </c>
      <c r="E522" s="18" t="s">
        <v>21</v>
      </c>
      <c r="F522" s="20" t="n">
        <v>11772</v>
      </c>
      <c r="G522" s="20" t="n">
        <v>2731.1</v>
      </c>
      <c r="H522" s="18" t="n">
        <v>1</v>
      </c>
      <c r="I522" s="20" t="n">
        <f aca="false">F522</f>
        <v>11772</v>
      </c>
      <c r="J522" s="22" t="n">
        <f aca="false">IFERROR(G522/F522,0)</f>
        <v>0.231999660210669</v>
      </c>
      <c r="K522" s="23" t="n">
        <f aca="false">MONTH(B522)</f>
        <v>12</v>
      </c>
    </row>
    <row r="523" customFormat="false" ht="15" hidden="false" customHeight="true" outlineLevel="0" collapsed="false">
      <c r="A523" s="18" t="s">
        <v>576</v>
      </c>
      <c r="B523" s="19" t="n">
        <v>45405</v>
      </c>
      <c r="C523" s="18" t="s">
        <v>39</v>
      </c>
      <c r="D523" s="18" t="s">
        <v>31</v>
      </c>
      <c r="E523" s="18" t="s">
        <v>32</v>
      </c>
      <c r="F523" s="20" t="n">
        <v>356305</v>
      </c>
      <c r="G523" s="20" t="n">
        <v>61640.76</v>
      </c>
      <c r="H523" s="18" t="n">
        <v>5</v>
      </c>
      <c r="I523" s="20" t="n">
        <f aca="false">F523</f>
        <v>356305</v>
      </c>
      <c r="J523" s="22" t="n">
        <f aca="false">IFERROR(G523/F523,0)</f>
        <v>0.172999985967079</v>
      </c>
      <c r="K523" s="23" t="n">
        <f aca="false">MONTH(B523)</f>
        <v>4</v>
      </c>
    </row>
    <row r="524" customFormat="false" ht="15" hidden="false" customHeight="true" outlineLevel="0" collapsed="false">
      <c r="A524" s="18" t="s">
        <v>577</v>
      </c>
      <c r="B524" s="19" t="n">
        <v>45641</v>
      </c>
      <c r="C524" s="18" t="s">
        <v>41</v>
      </c>
      <c r="D524" s="18" t="s">
        <v>96</v>
      </c>
      <c r="E524" s="18" t="s">
        <v>50</v>
      </c>
      <c r="F524" s="20" t="n">
        <v>321</v>
      </c>
      <c r="G524" s="20" t="n">
        <v>75.44</v>
      </c>
      <c r="H524" s="18" t="n">
        <v>3</v>
      </c>
      <c r="I524" s="20" t="n">
        <f aca="false">F524</f>
        <v>321</v>
      </c>
      <c r="J524" s="22" t="n">
        <f aca="false">IFERROR(G524/F524,0)</f>
        <v>0.235015576323988</v>
      </c>
      <c r="K524" s="23" t="n">
        <f aca="false">MONTH(B524)</f>
        <v>12</v>
      </c>
    </row>
    <row r="525" customFormat="false" ht="15" hidden="false" customHeight="true" outlineLevel="0" collapsed="false">
      <c r="A525" s="18" t="s">
        <v>578</v>
      </c>
      <c r="B525" s="19" t="n">
        <v>45554</v>
      </c>
      <c r="C525" s="18" t="s">
        <v>19</v>
      </c>
      <c r="D525" s="18" t="s">
        <v>106</v>
      </c>
      <c r="E525" s="18" t="s">
        <v>25</v>
      </c>
      <c r="F525" s="20" t="n">
        <v>18765</v>
      </c>
      <c r="G525" s="20" t="n">
        <v>5479.38</v>
      </c>
      <c r="H525" s="18" t="n">
        <v>9</v>
      </c>
      <c r="I525" s="20" t="n">
        <f aca="false">F525</f>
        <v>18765</v>
      </c>
      <c r="J525" s="22" t="n">
        <f aca="false">IFERROR(G525/F525,0)</f>
        <v>0.292</v>
      </c>
      <c r="K525" s="23" t="n">
        <f aca="false">MONTH(B525)</f>
        <v>9</v>
      </c>
    </row>
    <row r="526" customFormat="false" ht="15" hidden="false" customHeight="true" outlineLevel="0" collapsed="false">
      <c r="A526" s="18" t="s">
        <v>579</v>
      </c>
      <c r="B526" s="19" t="n">
        <v>45585</v>
      </c>
      <c r="C526" s="18" t="s">
        <v>27</v>
      </c>
      <c r="D526" s="18" t="s">
        <v>91</v>
      </c>
      <c r="E526" s="18" t="s">
        <v>25</v>
      </c>
      <c r="F526" s="20" t="n">
        <v>22624</v>
      </c>
      <c r="G526" s="20" t="n">
        <v>3529.34</v>
      </c>
      <c r="H526" s="18" t="n">
        <v>7</v>
      </c>
      <c r="I526" s="20" t="n">
        <f aca="false">F526</f>
        <v>22624</v>
      </c>
      <c r="J526" s="22" t="n">
        <f aca="false">IFERROR(G526/F526,0)</f>
        <v>0.155999823196605</v>
      </c>
      <c r="K526" s="23" t="n">
        <f aca="false">MONTH(B526)</f>
        <v>10</v>
      </c>
    </row>
    <row r="527" customFormat="false" ht="15" hidden="false" customHeight="true" outlineLevel="0" collapsed="false">
      <c r="A527" s="18" t="s">
        <v>580</v>
      </c>
      <c r="B527" s="19" t="n">
        <v>45295</v>
      </c>
      <c r="C527" s="18" t="s">
        <v>41</v>
      </c>
      <c r="D527" s="18" t="s">
        <v>20</v>
      </c>
      <c r="E527" s="18" t="s">
        <v>21</v>
      </c>
      <c r="F527" s="20" t="n">
        <v>68684</v>
      </c>
      <c r="G527" s="20" t="n">
        <v>14354.96</v>
      </c>
      <c r="H527" s="18" t="n">
        <v>4</v>
      </c>
      <c r="I527" s="20" t="n">
        <f aca="false">F527</f>
        <v>68684</v>
      </c>
      <c r="J527" s="22" t="n">
        <f aca="false">IFERROR(G527/F527,0)</f>
        <v>0.209000058237726</v>
      </c>
      <c r="K527" s="23" t="n">
        <f aca="false">MONTH(B527)</f>
        <v>1</v>
      </c>
    </row>
    <row r="528" customFormat="false" ht="15" hidden="false" customHeight="true" outlineLevel="0" collapsed="false">
      <c r="A528" s="18" t="s">
        <v>581</v>
      </c>
      <c r="B528" s="19" t="n">
        <v>45607</v>
      </c>
      <c r="C528" s="18" t="s">
        <v>39</v>
      </c>
      <c r="D528" s="18" t="s">
        <v>75</v>
      </c>
      <c r="E528" s="18" t="s">
        <v>29</v>
      </c>
      <c r="F528" s="20" t="n">
        <v>14215</v>
      </c>
      <c r="G528" s="20" t="n">
        <v>2004.31</v>
      </c>
      <c r="H528" s="18" t="n">
        <v>5</v>
      </c>
      <c r="I528" s="20" t="n">
        <f aca="false">F528</f>
        <v>14215</v>
      </c>
      <c r="J528" s="22" t="n">
        <f aca="false">IFERROR(G528/F528,0)</f>
        <v>0.140999648258881</v>
      </c>
      <c r="K528" s="23" t="n">
        <f aca="false">MONTH(B528)</f>
        <v>11</v>
      </c>
    </row>
    <row r="529" customFormat="false" ht="15" hidden="false" customHeight="true" outlineLevel="0" collapsed="false">
      <c r="A529" s="18" t="s">
        <v>582</v>
      </c>
      <c r="B529" s="19" t="n">
        <v>45333</v>
      </c>
      <c r="C529" s="18" t="s">
        <v>23</v>
      </c>
      <c r="D529" s="18" t="s">
        <v>64</v>
      </c>
      <c r="E529" s="18" t="s">
        <v>32</v>
      </c>
      <c r="F529" s="20" t="n">
        <v>406966</v>
      </c>
      <c r="G529" s="20" t="n">
        <v>45580.19</v>
      </c>
      <c r="H529" s="18" t="n">
        <v>7</v>
      </c>
      <c r="I529" s="20" t="n">
        <f aca="false">F529</f>
        <v>406966</v>
      </c>
      <c r="J529" s="22" t="n">
        <f aca="false">IFERROR(G529/F529,0)</f>
        <v>0.111999995085585</v>
      </c>
      <c r="K529" s="23" t="n">
        <f aca="false">MONTH(B529)</f>
        <v>2</v>
      </c>
    </row>
    <row r="530" customFormat="false" ht="15" hidden="false" customHeight="true" outlineLevel="0" collapsed="false">
      <c r="A530" s="18" t="s">
        <v>583</v>
      </c>
      <c r="B530" s="19" t="n">
        <v>45315</v>
      </c>
      <c r="C530" s="18" t="s">
        <v>19</v>
      </c>
      <c r="D530" s="18" t="s">
        <v>86</v>
      </c>
      <c r="E530" s="18" t="s">
        <v>21</v>
      </c>
      <c r="F530" s="20" t="n">
        <v>392776</v>
      </c>
      <c r="G530" s="20" t="n">
        <v>77769.65</v>
      </c>
      <c r="H530" s="18" t="n">
        <v>8</v>
      </c>
      <c r="I530" s="20" t="n">
        <f aca="false">F530</f>
        <v>392776</v>
      </c>
      <c r="J530" s="22" t="n">
        <f aca="false">IFERROR(G530/F530,0)</f>
        <v>0.198000005091961</v>
      </c>
      <c r="K530" s="23" t="n">
        <f aca="false">MONTH(B530)</f>
        <v>1</v>
      </c>
    </row>
    <row r="531" customFormat="false" ht="15" hidden="false" customHeight="true" outlineLevel="0" collapsed="false">
      <c r="A531" s="18" t="s">
        <v>584</v>
      </c>
      <c r="B531" s="19" t="n">
        <v>45593</v>
      </c>
      <c r="C531" s="18" t="s">
        <v>19</v>
      </c>
      <c r="D531" s="18" t="s">
        <v>93</v>
      </c>
      <c r="E531" s="18" t="s">
        <v>32</v>
      </c>
      <c r="F531" s="20" t="n">
        <v>77680</v>
      </c>
      <c r="G531" s="20" t="n">
        <v>10176.08</v>
      </c>
      <c r="H531" s="18" t="n">
        <v>8</v>
      </c>
      <c r="I531" s="20" t="n">
        <f aca="false">F531</f>
        <v>77680</v>
      </c>
      <c r="J531" s="22" t="n">
        <f aca="false">IFERROR(G531/F531,0)</f>
        <v>0.131</v>
      </c>
      <c r="K531" s="23" t="n">
        <f aca="false">MONTH(B531)</f>
        <v>10</v>
      </c>
    </row>
    <row r="532" customFormat="false" ht="15" hidden="false" customHeight="true" outlineLevel="0" collapsed="false">
      <c r="A532" s="18" t="s">
        <v>585</v>
      </c>
      <c r="B532" s="19" t="n">
        <v>45601</v>
      </c>
      <c r="C532" s="18" t="s">
        <v>19</v>
      </c>
      <c r="D532" s="18" t="s">
        <v>46</v>
      </c>
      <c r="E532" s="18" t="s">
        <v>29</v>
      </c>
      <c r="F532" s="20" t="n">
        <v>3964</v>
      </c>
      <c r="G532" s="20" t="n">
        <v>428.11</v>
      </c>
      <c r="H532" s="18" t="n">
        <v>1</v>
      </c>
      <c r="I532" s="20" t="n">
        <f aca="false">F532</f>
        <v>3964</v>
      </c>
      <c r="J532" s="22" t="n">
        <f aca="false">IFERROR(G532/F532,0)</f>
        <v>0.107999495459132</v>
      </c>
      <c r="K532" s="23" t="n">
        <f aca="false">MONTH(B532)</f>
        <v>11</v>
      </c>
    </row>
    <row r="533" customFormat="false" ht="15" hidden="false" customHeight="true" outlineLevel="0" collapsed="false">
      <c r="A533" s="18" t="s">
        <v>586</v>
      </c>
      <c r="B533" s="19" t="n">
        <v>45354</v>
      </c>
      <c r="C533" s="18" t="s">
        <v>27</v>
      </c>
      <c r="D533" s="18" t="s">
        <v>93</v>
      </c>
      <c r="E533" s="18" t="s">
        <v>32</v>
      </c>
      <c r="F533" s="20" t="n">
        <v>99496</v>
      </c>
      <c r="G533" s="20" t="n">
        <v>13232.97</v>
      </c>
      <c r="H533" s="18" t="n">
        <v>8</v>
      </c>
      <c r="I533" s="20" t="n">
        <f aca="false">F533</f>
        <v>99496</v>
      </c>
      <c r="J533" s="22" t="n">
        <f aca="false">IFERROR(G533/F533,0)</f>
        <v>0.133000020101311</v>
      </c>
      <c r="K533" s="23" t="n">
        <f aca="false">MONTH(B533)</f>
        <v>3</v>
      </c>
    </row>
    <row r="534" customFormat="false" ht="15" hidden="false" customHeight="true" outlineLevel="0" collapsed="false">
      <c r="A534" s="18" t="s">
        <v>587</v>
      </c>
      <c r="B534" s="19" t="n">
        <v>45499</v>
      </c>
      <c r="C534" s="18" t="s">
        <v>23</v>
      </c>
      <c r="D534" s="18" t="s">
        <v>46</v>
      </c>
      <c r="E534" s="18" t="s">
        <v>29</v>
      </c>
      <c r="F534" s="20" t="n">
        <v>8144</v>
      </c>
      <c r="G534" s="20" t="n">
        <v>1588.08</v>
      </c>
      <c r="H534" s="18" t="n">
        <v>1</v>
      </c>
      <c r="I534" s="20" t="n">
        <f aca="false">F534</f>
        <v>8144</v>
      </c>
      <c r="J534" s="22" t="n">
        <f aca="false">IFERROR(G534/F534,0)</f>
        <v>0.195</v>
      </c>
      <c r="K534" s="23" t="n">
        <f aca="false">MONTH(B534)</f>
        <v>7</v>
      </c>
    </row>
    <row r="535" customFormat="false" ht="15" hidden="false" customHeight="true" outlineLevel="0" collapsed="false">
      <c r="A535" s="18" t="s">
        <v>588</v>
      </c>
      <c r="B535" s="19" t="n">
        <v>45543</v>
      </c>
      <c r="C535" s="18" t="s">
        <v>41</v>
      </c>
      <c r="D535" s="18" t="s">
        <v>96</v>
      </c>
      <c r="E535" s="18" t="s">
        <v>50</v>
      </c>
      <c r="F535" s="20" t="n">
        <v>462</v>
      </c>
      <c r="G535" s="20" t="n">
        <v>123.35</v>
      </c>
      <c r="H535" s="18" t="n">
        <v>6</v>
      </c>
      <c r="I535" s="20" t="n">
        <f aca="false">F535</f>
        <v>462</v>
      </c>
      <c r="J535" s="22" t="n">
        <f aca="false">IFERROR(G535/F535,0)</f>
        <v>0.266991341991342</v>
      </c>
      <c r="K535" s="23" t="n">
        <f aca="false">MONTH(B535)</f>
        <v>9</v>
      </c>
    </row>
    <row r="536" customFormat="false" ht="15" hidden="false" customHeight="true" outlineLevel="0" collapsed="false">
      <c r="A536" s="18" t="s">
        <v>589</v>
      </c>
      <c r="B536" s="19" t="n">
        <v>45657</v>
      </c>
      <c r="C536" s="18" t="s">
        <v>27</v>
      </c>
      <c r="D536" s="18" t="s">
        <v>42</v>
      </c>
      <c r="E536" s="18" t="s">
        <v>21</v>
      </c>
      <c r="F536" s="20" t="n">
        <v>48402</v>
      </c>
      <c r="G536" s="20" t="n">
        <v>8421.95</v>
      </c>
      <c r="H536" s="18" t="n">
        <v>6</v>
      </c>
      <c r="I536" s="20" t="n">
        <f aca="false">F536</f>
        <v>48402</v>
      </c>
      <c r="J536" s="22" t="n">
        <f aca="false">IFERROR(G536/F536,0)</f>
        <v>0.174000041320607</v>
      </c>
      <c r="K536" s="23" t="n">
        <f aca="false">MONTH(B536)</f>
        <v>12</v>
      </c>
    </row>
    <row r="537" customFormat="false" ht="15" hidden="false" customHeight="true" outlineLevel="0" collapsed="false">
      <c r="A537" s="18" t="s">
        <v>590</v>
      </c>
      <c r="B537" s="19" t="n">
        <v>45456</v>
      </c>
      <c r="C537" s="18" t="s">
        <v>27</v>
      </c>
      <c r="D537" s="18" t="s">
        <v>24</v>
      </c>
      <c r="E537" s="18" t="s">
        <v>25</v>
      </c>
      <c r="F537" s="20" t="n">
        <v>2780</v>
      </c>
      <c r="G537" s="20" t="n">
        <v>558.78</v>
      </c>
      <c r="H537" s="18" t="n">
        <v>2</v>
      </c>
      <c r="I537" s="20" t="n">
        <f aca="false">F537</f>
        <v>2780</v>
      </c>
      <c r="J537" s="22" t="n">
        <f aca="false">IFERROR(G537/F537,0)</f>
        <v>0.201</v>
      </c>
      <c r="K537" s="23" t="n">
        <f aca="false">MONTH(B537)</f>
        <v>6</v>
      </c>
    </row>
    <row r="538" customFormat="false" ht="15" hidden="false" customHeight="true" outlineLevel="0" collapsed="false">
      <c r="A538" s="18" t="s">
        <v>591</v>
      </c>
      <c r="B538" s="19" t="n">
        <v>45475</v>
      </c>
      <c r="C538" s="18" t="s">
        <v>39</v>
      </c>
      <c r="D538" s="18" t="s">
        <v>62</v>
      </c>
      <c r="E538" s="18" t="s">
        <v>50</v>
      </c>
      <c r="F538" s="20" t="n">
        <v>790</v>
      </c>
      <c r="G538" s="20" t="n">
        <v>199.87</v>
      </c>
      <c r="H538" s="18" t="n">
        <v>5</v>
      </c>
      <c r="I538" s="20" t="n">
        <f aca="false">F538</f>
        <v>790</v>
      </c>
      <c r="J538" s="22" t="n">
        <f aca="false">IFERROR(G538/F538,0)</f>
        <v>0.253</v>
      </c>
      <c r="K538" s="23" t="n">
        <f aca="false">MONTH(B538)</f>
        <v>7</v>
      </c>
    </row>
    <row r="539" customFormat="false" ht="15" hidden="false" customHeight="true" outlineLevel="0" collapsed="false">
      <c r="A539" s="18" t="s">
        <v>592</v>
      </c>
      <c r="B539" s="19" t="n">
        <v>45420</v>
      </c>
      <c r="C539" s="18" t="s">
        <v>41</v>
      </c>
      <c r="D539" s="18" t="s">
        <v>55</v>
      </c>
      <c r="E539" s="18" t="s">
        <v>32</v>
      </c>
      <c r="F539" s="20" t="n">
        <v>53436</v>
      </c>
      <c r="G539" s="20" t="n">
        <v>9618.48</v>
      </c>
      <c r="H539" s="18" t="n">
        <v>4</v>
      </c>
      <c r="I539" s="20" t="n">
        <f aca="false">F539</f>
        <v>53436</v>
      </c>
      <c r="J539" s="22" t="n">
        <f aca="false">IFERROR(G539/F539,0)</f>
        <v>0.18</v>
      </c>
      <c r="K539" s="23" t="n">
        <f aca="false">MONTH(B539)</f>
        <v>5</v>
      </c>
    </row>
    <row r="540" customFormat="false" ht="15" hidden="false" customHeight="true" outlineLevel="0" collapsed="false">
      <c r="A540" s="18" t="s">
        <v>593</v>
      </c>
      <c r="B540" s="19" t="n">
        <v>45378</v>
      </c>
      <c r="C540" s="18" t="s">
        <v>39</v>
      </c>
      <c r="D540" s="18" t="s">
        <v>83</v>
      </c>
      <c r="E540" s="18" t="s">
        <v>21</v>
      </c>
      <c r="F540" s="20" t="n">
        <v>34485</v>
      </c>
      <c r="G540" s="20" t="n">
        <v>6345.24</v>
      </c>
      <c r="H540" s="18" t="n">
        <v>5</v>
      </c>
      <c r="I540" s="20" t="n">
        <f aca="false">F540</f>
        <v>34485</v>
      </c>
      <c r="J540" s="22" t="n">
        <f aca="false">IFERROR(G540/F540,0)</f>
        <v>0.184</v>
      </c>
      <c r="K540" s="23" t="n">
        <f aca="false">MONTH(B540)</f>
        <v>3</v>
      </c>
    </row>
    <row r="541" customFormat="false" ht="15" hidden="false" customHeight="true" outlineLevel="0" collapsed="false">
      <c r="A541" s="18" t="s">
        <v>594</v>
      </c>
      <c r="B541" s="19" t="n">
        <v>45495</v>
      </c>
      <c r="C541" s="18" t="s">
        <v>23</v>
      </c>
      <c r="D541" s="18" t="s">
        <v>86</v>
      </c>
      <c r="E541" s="18" t="s">
        <v>21</v>
      </c>
      <c r="F541" s="20" t="n">
        <v>380025</v>
      </c>
      <c r="G541" s="20" t="n">
        <v>66504.38</v>
      </c>
      <c r="H541" s="18" t="n">
        <v>9</v>
      </c>
      <c r="I541" s="20" t="n">
        <f aca="false">F541</f>
        <v>380025</v>
      </c>
      <c r="J541" s="22" t="n">
        <f aca="false">IFERROR(G541/F541,0)</f>
        <v>0.175000013157029</v>
      </c>
      <c r="K541" s="23" t="n">
        <f aca="false">MONTH(B541)</f>
        <v>7</v>
      </c>
    </row>
    <row r="542" customFormat="false" ht="15" hidden="false" customHeight="true" outlineLevel="0" collapsed="false">
      <c r="A542" s="18" t="s">
        <v>595</v>
      </c>
      <c r="B542" s="19" t="n">
        <v>45508</v>
      </c>
      <c r="C542" s="18" t="s">
        <v>41</v>
      </c>
      <c r="D542" s="18" t="s">
        <v>34</v>
      </c>
      <c r="E542" s="18" t="s">
        <v>25</v>
      </c>
      <c r="F542" s="20" t="n">
        <v>4991</v>
      </c>
      <c r="G542" s="20" t="n">
        <v>1741.86</v>
      </c>
      <c r="H542" s="18" t="n">
        <v>7</v>
      </c>
      <c r="I542" s="20" t="n">
        <f aca="false">F542</f>
        <v>4991</v>
      </c>
      <c r="J542" s="22" t="n">
        <f aca="false">IFERROR(G542/F542,0)</f>
        <v>0.349000200360649</v>
      </c>
      <c r="K542" s="23" t="n">
        <f aca="false">MONTH(B542)</f>
        <v>8</v>
      </c>
    </row>
    <row r="543" customFormat="false" ht="15" hidden="false" customHeight="true" outlineLevel="0" collapsed="false">
      <c r="A543" s="18" t="s">
        <v>596</v>
      </c>
      <c r="B543" s="19" t="n">
        <v>45481</v>
      </c>
      <c r="C543" s="18" t="s">
        <v>19</v>
      </c>
      <c r="D543" s="18" t="s">
        <v>91</v>
      </c>
      <c r="E543" s="18" t="s">
        <v>25</v>
      </c>
      <c r="F543" s="20" t="n">
        <v>26286</v>
      </c>
      <c r="G543" s="20" t="n">
        <v>8884.67</v>
      </c>
      <c r="H543" s="18" t="n">
        <v>6</v>
      </c>
      <c r="I543" s="20" t="n">
        <f aca="false">F543</f>
        <v>26286</v>
      </c>
      <c r="J543" s="22" t="n">
        <f aca="false">IFERROR(G543/F543,0)</f>
        <v>0.33800007608613</v>
      </c>
      <c r="K543" s="23" t="n">
        <f aca="false">MONTH(B543)</f>
        <v>7</v>
      </c>
    </row>
    <row r="544" customFormat="false" ht="15" hidden="false" customHeight="true" outlineLevel="0" collapsed="false">
      <c r="A544" s="18" t="s">
        <v>597</v>
      </c>
      <c r="B544" s="19" t="n">
        <v>45626</v>
      </c>
      <c r="C544" s="18" t="s">
        <v>19</v>
      </c>
      <c r="D544" s="18" t="s">
        <v>106</v>
      </c>
      <c r="E544" s="18" t="s">
        <v>25</v>
      </c>
      <c r="F544" s="20" t="n">
        <v>4216</v>
      </c>
      <c r="G544" s="20" t="n">
        <v>1197.34</v>
      </c>
      <c r="H544" s="18" t="n">
        <v>4</v>
      </c>
      <c r="I544" s="20" t="n">
        <f aca="false">F544</f>
        <v>4216</v>
      </c>
      <c r="J544" s="22" t="n">
        <f aca="false">IFERROR(G544/F544,0)</f>
        <v>0.283999051233397</v>
      </c>
      <c r="K544" s="23" t="n">
        <f aca="false">MONTH(B544)</f>
        <v>11</v>
      </c>
    </row>
    <row r="545" customFormat="false" ht="15" hidden="false" customHeight="true" outlineLevel="0" collapsed="false">
      <c r="A545" s="18" t="s">
        <v>598</v>
      </c>
      <c r="B545" s="19" t="n">
        <v>45527</v>
      </c>
      <c r="C545" s="18" t="s">
        <v>39</v>
      </c>
      <c r="D545" s="18" t="s">
        <v>49</v>
      </c>
      <c r="E545" s="18" t="s">
        <v>50</v>
      </c>
      <c r="F545" s="20" t="n">
        <v>258</v>
      </c>
      <c r="G545" s="20" t="n">
        <v>101.39</v>
      </c>
      <c r="H545" s="18" t="n">
        <v>3</v>
      </c>
      <c r="I545" s="20" t="n">
        <f aca="false">F545</f>
        <v>258</v>
      </c>
      <c r="J545" s="22" t="n">
        <f aca="false">IFERROR(G545/F545,0)</f>
        <v>0.392984496124031</v>
      </c>
      <c r="K545" s="23" t="n">
        <f aca="false">MONTH(B545)</f>
        <v>8</v>
      </c>
    </row>
    <row r="546" customFormat="false" ht="15" hidden="false" customHeight="true" outlineLevel="0" collapsed="false">
      <c r="A546" s="18" t="s">
        <v>599</v>
      </c>
      <c r="B546" s="19" t="n">
        <v>45621</v>
      </c>
      <c r="C546" s="18" t="s">
        <v>19</v>
      </c>
      <c r="D546" s="18" t="s">
        <v>93</v>
      </c>
      <c r="E546" s="18" t="s">
        <v>32</v>
      </c>
      <c r="F546" s="20" t="n">
        <v>27279</v>
      </c>
      <c r="G546" s="20" t="n">
        <v>3955.45</v>
      </c>
      <c r="H546" s="18" t="n">
        <v>9</v>
      </c>
      <c r="I546" s="20" t="n">
        <f aca="false">F546</f>
        <v>27279</v>
      </c>
      <c r="J546" s="22" t="n">
        <f aca="false">IFERROR(G546/F546,0)</f>
        <v>0.144999816708824</v>
      </c>
      <c r="K546" s="23" t="n">
        <f aca="false">MONTH(B546)</f>
        <v>11</v>
      </c>
    </row>
    <row r="547" customFormat="false" ht="15" hidden="false" customHeight="true" outlineLevel="0" collapsed="false">
      <c r="A547" s="18" t="s">
        <v>600</v>
      </c>
      <c r="B547" s="19" t="n">
        <v>45579</v>
      </c>
      <c r="C547" s="18" t="s">
        <v>39</v>
      </c>
      <c r="D547" s="18" t="s">
        <v>75</v>
      </c>
      <c r="E547" s="18" t="s">
        <v>29</v>
      </c>
      <c r="F547" s="20" t="n">
        <v>17568</v>
      </c>
      <c r="G547" s="20" t="n">
        <v>2389.25</v>
      </c>
      <c r="H547" s="18" t="n">
        <v>8</v>
      </c>
      <c r="I547" s="20" t="n">
        <f aca="false">F547</f>
        <v>17568</v>
      </c>
      <c r="J547" s="22" t="n">
        <f aca="false">IFERROR(G547/F547,0)</f>
        <v>0.136000113843352</v>
      </c>
      <c r="K547" s="23" t="n">
        <f aca="false">MONTH(B547)</f>
        <v>10</v>
      </c>
    </row>
    <row r="548" customFormat="false" ht="15" hidden="false" customHeight="true" outlineLevel="0" collapsed="false">
      <c r="A548" s="18" t="s">
        <v>601</v>
      </c>
      <c r="B548" s="19" t="n">
        <v>45535</v>
      </c>
      <c r="C548" s="18" t="s">
        <v>19</v>
      </c>
      <c r="D548" s="18" t="s">
        <v>55</v>
      </c>
      <c r="E548" s="18" t="s">
        <v>32</v>
      </c>
      <c r="F548" s="20" t="n">
        <v>99925</v>
      </c>
      <c r="G548" s="20" t="n">
        <v>12990.25</v>
      </c>
      <c r="H548" s="18" t="n">
        <v>7</v>
      </c>
      <c r="I548" s="20" t="n">
        <f aca="false">F548</f>
        <v>99925</v>
      </c>
      <c r="J548" s="22" t="n">
        <f aca="false">IFERROR(G548/F548,0)</f>
        <v>0.13</v>
      </c>
      <c r="K548" s="23" t="n">
        <f aca="false">MONTH(B548)</f>
        <v>8</v>
      </c>
    </row>
    <row r="549" customFormat="false" ht="15" hidden="false" customHeight="true" outlineLevel="0" collapsed="false">
      <c r="A549" s="18" t="s">
        <v>602</v>
      </c>
      <c r="B549" s="19" t="n">
        <v>45436</v>
      </c>
      <c r="C549" s="18" t="s">
        <v>41</v>
      </c>
      <c r="D549" s="18" t="s">
        <v>28</v>
      </c>
      <c r="E549" s="18" t="s">
        <v>29</v>
      </c>
      <c r="F549" s="20" t="n">
        <v>37278</v>
      </c>
      <c r="G549" s="20" t="n">
        <v>6710.04</v>
      </c>
      <c r="H549" s="18" t="n">
        <v>6</v>
      </c>
      <c r="I549" s="20" t="n">
        <f aca="false">F549</f>
        <v>37278</v>
      </c>
      <c r="J549" s="22" t="n">
        <f aca="false">IFERROR(G549/F549,0)</f>
        <v>0.18</v>
      </c>
      <c r="K549" s="23" t="n">
        <f aca="false">MONTH(B549)</f>
        <v>5</v>
      </c>
    </row>
    <row r="550" customFormat="false" ht="15" hidden="false" customHeight="true" outlineLevel="0" collapsed="false">
      <c r="A550" s="18" t="s">
        <v>603</v>
      </c>
      <c r="B550" s="19" t="n">
        <v>45352</v>
      </c>
      <c r="C550" s="18" t="s">
        <v>27</v>
      </c>
      <c r="D550" s="18" t="s">
        <v>42</v>
      </c>
      <c r="E550" s="18" t="s">
        <v>21</v>
      </c>
      <c r="F550" s="20" t="n">
        <v>155300</v>
      </c>
      <c r="G550" s="20" t="n">
        <v>22829.1</v>
      </c>
      <c r="H550" s="18" t="n">
        <v>10</v>
      </c>
      <c r="I550" s="20" t="n">
        <f aca="false">F550</f>
        <v>155300</v>
      </c>
      <c r="J550" s="22" t="n">
        <f aca="false">IFERROR(G550/F550,0)</f>
        <v>0.147</v>
      </c>
      <c r="K550" s="23" t="n">
        <f aca="false">MONTH(B550)</f>
        <v>3</v>
      </c>
    </row>
    <row r="551" customFormat="false" ht="15" hidden="false" customHeight="true" outlineLevel="0" collapsed="false">
      <c r="A551" s="18" t="s">
        <v>604</v>
      </c>
      <c r="B551" s="19" t="n">
        <v>45295</v>
      </c>
      <c r="C551" s="18" t="s">
        <v>23</v>
      </c>
      <c r="D551" s="18" t="s">
        <v>28</v>
      </c>
      <c r="E551" s="18" t="s">
        <v>29</v>
      </c>
      <c r="F551" s="20" t="n">
        <v>12514</v>
      </c>
      <c r="G551" s="20" t="n">
        <v>1263.91</v>
      </c>
      <c r="H551" s="18" t="n">
        <v>2</v>
      </c>
      <c r="I551" s="20" t="n">
        <f aca="false">F551</f>
        <v>12514</v>
      </c>
      <c r="J551" s="22" t="n">
        <f aca="false">IFERROR(G551/F551,0)</f>
        <v>0.100999680357999</v>
      </c>
      <c r="K551" s="23" t="n">
        <f aca="false">MONTH(B551)</f>
        <v>1</v>
      </c>
    </row>
    <row r="552" customFormat="false" ht="15" hidden="false" customHeight="true" outlineLevel="0" collapsed="false">
      <c r="A552" s="18" t="s">
        <v>605</v>
      </c>
      <c r="B552" s="19" t="n">
        <v>45480</v>
      </c>
      <c r="C552" s="18" t="s">
        <v>39</v>
      </c>
      <c r="D552" s="18" t="s">
        <v>120</v>
      </c>
      <c r="E552" s="18" t="s">
        <v>29</v>
      </c>
      <c r="F552" s="20" t="n">
        <v>182540</v>
      </c>
      <c r="G552" s="20" t="n">
        <v>31396.88</v>
      </c>
      <c r="H552" s="18" t="n">
        <v>10</v>
      </c>
      <c r="I552" s="20" t="n">
        <f aca="false">F552</f>
        <v>182540</v>
      </c>
      <c r="J552" s="22" t="n">
        <f aca="false">IFERROR(G552/F552,0)</f>
        <v>0.172</v>
      </c>
      <c r="K552" s="23" t="n">
        <f aca="false">MONTH(B552)</f>
        <v>7</v>
      </c>
    </row>
    <row r="553" customFormat="false" ht="15" hidden="false" customHeight="true" outlineLevel="0" collapsed="false">
      <c r="A553" s="18" t="s">
        <v>606</v>
      </c>
      <c r="B553" s="19" t="n">
        <v>45305</v>
      </c>
      <c r="C553" s="18" t="s">
        <v>39</v>
      </c>
      <c r="D553" s="18" t="s">
        <v>31</v>
      </c>
      <c r="E553" s="18" t="s">
        <v>32</v>
      </c>
      <c r="F553" s="20" t="n">
        <v>520632</v>
      </c>
      <c r="G553" s="20" t="n">
        <v>82780.49</v>
      </c>
      <c r="H553" s="18" t="n">
        <v>6</v>
      </c>
      <c r="I553" s="20" t="n">
        <f aca="false">F553</f>
        <v>520632</v>
      </c>
      <c r="J553" s="22" t="n">
        <f aca="false">IFERROR(G553/F553,0)</f>
        <v>0.159000003841485</v>
      </c>
      <c r="K553" s="23" t="n">
        <f aca="false">MONTH(B553)</f>
        <v>1</v>
      </c>
    </row>
    <row r="554" customFormat="false" ht="15" hidden="false" customHeight="true" outlineLevel="0" collapsed="false">
      <c r="A554" s="18" t="s">
        <v>607</v>
      </c>
      <c r="B554" s="19" t="n">
        <v>45396</v>
      </c>
      <c r="C554" s="18" t="s">
        <v>19</v>
      </c>
      <c r="D554" s="18" t="s">
        <v>42</v>
      </c>
      <c r="E554" s="18" t="s">
        <v>21</v>
      </c>
      <c r="F554" s="20" t="n">
        <v>52420</v>
      </c>
      <c r="G554" s="20" t="n">
        <v>7181.54</v>
      </c>
      <c r="H554" s="18" t="n">
        <v>5</v>
      </c>
      <c r="I554" s="20" t="n">
        <f aca="false">F554</f>
        <v>52420</v>
      </c>
      <c r="J554" s="22" t="n">
        <f aca="false">IFERROR(G554/F554,0)</f>
        <v>0.137</v>
      </c>
      <c r="K554" s="23" t="n">
        <f aca="false">MONTH(B554)</f>
        <v>4</v>
      </c>
    </row>
    <row r="555" customFormat="false" ht="15" hidden="false" customHeight="true" outlineLevel="0" collapsed="false">
      <c r="A555" s="18" t="s">
        <v>608</v>
      </c>
      <c r="B555" s="19" t="n">
        <v>45327</v>
      </c>
      <c r="C555" s="18" t="s">
        <v>39</v>
      </c>
      <c r="D555" s="18" t="s">
        <v>70</v>
      </c>
      <c r="E555" s="18" t="s">
        <v>21</v>
      </c>
      <c r="F555" s="20" t="n">
        <v>198128</v>
      </c>
      <c r="G555" s="20" t="n">
        <v>32294.86</v>
      </c>
      <c r="H555" s="18" t="n">
        <v>8</v>
      </c>
      <c r="I555" s="20" t="n">
        <f aca="false">F555</f>
        <v>198128</v>
      </c>
      <c r="J555" s="22" t="n">
        <f aca="false">IFERROR(G555/F555,0)</f>
        <v>0.162999979811031</v>
      </c>
      <c r="K555" s="23" t="n">
        <f aca="false">MONTH(B555)</f>
        <v>2</v>
      </c>
    </row>
    <row r="556" customFormat="false" ht="15" hidden="false" customHeight="true" outlineLevel="0" collapsed="false">
      <c r="A556" s="18" t="s">
        <v>609</v>
      </c>
      <c r="B556" s="19" t="n">
        <v>45476</v>
      </c>
      <c r="C556" s="18" t="s">
        <v>27</v>
      </c>
      <c r="D556" s="18" t="s">
        <v>96</v>
      </c>
      <c r="E556" s="18" t="s">
        <v>50</v>
      </c>
      <c r="F556" s="20" t="n">
        <v>1096</v>
      </c>
      <c r="G556" s="20" t="n">
        <v>229.06</v>
      </c>
      <c r="H556" s="18" t="n">
        <v>8</v>
      </c>
      <c r="I556" s="20" t="n">
        <f aca="false">F556</f>
        <v>1096</v>
      </c>
      <c r="J556" s="22" t="n">
        <f aca="false">IFERROR(G556/F556,0)</f>
        <v>0.208996350364964</v>
      </c>
      <c r="K556" s="23" t="n">
        <f aca="false">MONTH(B556)</f>
        <v>7</v>
      </c>
    </row>
    <row r="557" customFormat="false" ht="15" hidden="false" customHeight="true" outlineLevel="0" collapsed="false">
      <c r="A557" s="18" t="s">
        <v>610</v>
      </c>
      <c r="B557" s="19" t="n">
        <v>45292</v>
      </c>
      <c r="C557" s="18" t="s">
        <v>23</v>
      </c>
      <c r="D557" s="18" t="s">
        <v>58</v>
      </c>
      <c r="E557" s="18" t="s">
        <v>50</v>
      </c>
      <c r="F557" s="20" t="n">
        <v>412</v>
      </c>
      <c r="G557" s="20" t="n">
        <v>116.6</v>
      </c>
      <c r="H557" s="18" t="n">
        <v>4</v>
      </c>
      <c r="I557" s="20" t="n">
        <f aca="false">F557</f>
        <v>412</v>
      </c>
      <c r="J557" s="22" t="n">
        <f aca="false">IFERROR(G557/F557,0)</f>
        <v>0.283009708737864</v>
      </c>
      <c r="K557" s="23" t="n">
        <f aca="false">MONTH(B557)</f>
        <v>1</v>
      </c>
    </row>
    <row r="558" customFormat="false" ht="15" hidden="false" customHeight="true" outlineLevel="0" collapsed="false">
      <c r="A558" s="18" t="s">
        <v>611</v>
      </c>
      <c r="B558" s="19" t="n">
        <v>45600</v>
      </c>
      <c r="C558" s="18" t="s">
        <v>39</v>
      </c>
      <c r="D558" s="18" t="s">
        <v>96</v>
      </c>
      <c r="E558" s="18" t="s">
        <v>50</v>
      </c>
      <c r="F558" s="20" t="n">
        <v>282</v>
      </c>
      <c r="G558" s="20" t="n">
        <v>110.83</v>
      </c>
      <c r="H558" s="18" t="n">
        <v>6</v>
      </c>
      <c r="I558" s="20" t="n">
        <f aca="false">F558</f>
        <v>282</v>
      </c>
      <c r="J558" s="22" t="n">
        <f aca="false">IFERROR(G558/F558,0)</f>
        <v>0.393014184397163</v>
      </c>
      <c r="K558" s="23" t="n">
        <f aca="false">MONTH(B558)</f>
        <v>11</v>
      </c>
    </row>
    <row r="559" customFormat="false" ht="15" hidden="false" customHeight="true" outlineLevel="0" collapsed="false">
      <c r="A559" s="18" t="s">
        <v>612</v>
      </c>
      <c r="B559" s="19" t="n">
        <v>45655</v>
      </c>
      <c r="C559" s="18" t="s">
        <v>27</v>
      </c>
      <c r="D559" s="18" t="s">
        <v>86</v>
      </c>
      <c r="E559" s="18" t="s">
        <v>21</v>
      </c>
      <c r="F559" s="20" t="n">
        <v>83088</v>
      </c>
      <c r="G559" s="20" t="n">
        <v>10219.82</v>
      </c>
      <c r="H559" s="18" t="n">
        <v>2</v>
      </c>
      <c r="I559" s="20" t="n">
        <f aca="false">F559</f>
        <v>83088</v>
      </c>
      <c r="J559" s="22" t="n">
        <f aca="false">IFERROR(G559/F559,0)</f>
        <v>0.122999951858271</v>
      </c>
      <c r="K559" s="23" t="n">
        <f aca="false">MONTH(B559)</f>
        <v>12</v>
      </c>
    </row>
    <row r="560" customFormat="false" ht="15" hidden="false" customHeight="true" outlineLevel="0" collapsed="false">
      <c r="A560" s="18" t="s">
        <v>613</v>
      </c>
      <c r="B560" s="19" t="n">
        <v>45336</v>
      </c>
      <c r="C560" s="18" t="s">
        <v>19</v>
      </c>
      <c r="D560" s="18" t="s">
        <v>62</v>
      </c>
      <c r="E560" s="18" t="s">
        <v>50</v>
      </c>
      <c r="F560" s="20" t="n">
        <v>632</v>
      </c>
      <c r="G560" s="20" t="n">
        <v>198.45</v>
      </c>
      <c r="H560" s="18" t="n">
        <v>4</v>
      </c>
      <c r="I560" s="20" t="n">
        <f aca="false">F560</f>
        <v>632</v>
      </c>
      <c r="J560" s="22" t="n">
        <f aca="false">IFERROR(G560/F560,0)</f>
        <v>0.314003164556962</v>
      </c>
      <c r="K560" s="23" t="n">
        <f aca="false">MONTH(B560)</f>
        <v>2</v>
      </c>
    </row>
    <row r="561" customFormat="false" ht="15" hidden="false" customHeight="true" outlineLevel="0" collapsed="false">
      <c r="A561" s="18" t="s">
        <v>614</v>
      </c>
      <c r="B561" s="19" t="n">
        <v>45297</v>
      </c>
      <c r="C561" s="18" t="s">
        <v>39</v>
      </c>
      <c r="D561" s="18" t="s">
        <v>96</v>
      </c>
      <c r="E561" s="18" t="s">
        <v>50</v>
      </c>
      <c r="F561" s="20" t="n">
        <v>546</v>
      </c>
      <c r="G561" s="20" t="n">
        <v>165.44</v>
      </c>
      <c r="H561" s="18" t="n">
        <v>6</v>
      </c>
      <c r="I561" s="20" t="n">
        <f aca="false">F561</f>
        <v>546</v>
      </c>
      <c r="J561" s="22" t="n">
        <f aca="false">IFERROR(G561/F561,0)</f>
        <v>0.303003663003663</v>
      </c>
      <c r="K561" s="23" t="n">
        <f aca="false">MONTH(B561)</f>
        <v>1</v>
      </c>
    </row>
    <row r="562" customFormat="false" ht="15" hidden="false" customHeight="true" outlineLevel="0" collapsed="false">
      <c r="A562" s="18" t="s">
        <v>615</v>
      </c>
      <c r="B562" s="19" t="n">
        <v>45471</v>
      </c>
      <c r="C562" s="18" t="s">
        <v>27</v>
      </c>
      <c r="D562" s="18" t="s">
        <v>70</v>
      </c>
      <c r="E562" s="18" t="s">
        <v>21</v>
      </c>
      <c r="F562" s="20" t="n">
        <v>54357</v>
      </c>
      <c r="G562" s="20" t="n">
        <v>8479.69</v>
      </c>
      <c r="H562" s="18" t="n">
        <v>3</v>
      </c>
      <c r="I562" s="20" t="n">
        <f aca="false">F562</f>
        <v>54357</v>
      </c>
      <c r="J562" s="22" t="n">
        <f aca="false">IFERROR(G562/F562,0)</f>
        <v>0.155999963206211</v>
      </c>
      <c r="K562" s="23" t="n">
        <f aca="false">MONTH(B562)</f>
        <v>6</v>
      </c>
    </row>
    <row r="563" customFormat="false" ht="15" hidden="false" customHeight="true" outlineLevel="0" collapsed="false">
      <c r="A563" s="18" t="s">
        <v>616</v>
      </c>
      <c r="B563" s="19" t="n">
        <v>45568</v>
      </c>
      <c r="C563" s="18" t="s">
        <v>41</v>
      </c>
      <c r="D563" s="18" t="s">
        <v>55</v>
      </c>
      <c r="E563" s="18" t="s">
        <v>32</v>
      </c>
      <c r="F563" s="20" t="n">
        <v>91596</v>
      </c>
      <c r="G563" s="20" t="n">
        <v>11083.12</v>
      </c>
      <c r="H563" s="18" t="n">
        <v>4</v>
      </c>
      <c r="I563" s="20" t="n">
        <f aca="false">F563</f>
        <v>91596</v>
      </c>
      <c r="J563" s="22" t="n">
        <f aca="false">IFERROR(G563/F563,0)</f>
        <v>0.121000043670029</v>
      </c>
      <c r="K563" s="23" t="n">
        <f aca="false">MONTH(B563)</f>
        <v>10</v>
      </c>
    </row>
    <row r="564" customFormat="false" ht="15" hidden="false" customHeight="true" outlineLevel="0" collapsed="false">
      <c r="A564" s="18" t="s">
        <v>617</v>
      </c>
      <c r="B564" s="19" t="n">
        <v>45635</v>
      </c>
      <c r="C564" s="18" t="s">
        <v>41</v>
      </c>
      <c r="D564" s="18" t="s">
        <v>44</v>
      </c>
      <c r="E564" s="18" t="s">
        <v>32</v>
      </c>
      <c r="F564" s="20" t="n">
        <v>25632</v>
      </c>
      <c r="G564" s="20" t="n">
        <v>3819.17</v>
      </c>
      <c r="H564" s="18" t="n">
        <v>6</v>
      </c>
      <c r="I564" s="20" t="n">
        <f aca="false">F564</f>
        <v>25632</v>
      </c>
      <c r="J564" s="22" t="n">
        <f aca="false">IFERROR(G564/F564,0)</f>
        <v>0.149000078027466</v>
      </c>
      <c r="K564" s="23" t="n">
        <f aca="false">MONTH(B564)</f>
        <v>12</v>
      </c>
    </row>
    <row r="565" customFormat="false" ht="15" hidden="false" customHeight="true" outlineLevel="0" collapsed="false">
      <c r="A565" s="18" t="s">
        <v>618</v>
      </c>
      <c r="B565" s="19" t="n">
        <v>45352</v>
      </c>
      <c r="C565" s="18" t="s">
        <v>19</v>
      </c>
      <c r="D565" s="18" t="s">
        <v>36</v>
      </c>
      <c r="E565" s="18" t="s">
        <v>25</v>
      </c>
      <c r="F565" s="20" t="n">
        <v>25775</v>
      </c>
      <c r="G565" s="20" t="n">
        <v>4974.57</v>
      </c>
      <c r="H565" s="18" t="n">
        <v>5</v>
      </c>
      <c r="I565" s="20" t="n">
        <f aca="false">F565</f>
        <v>25775</v>
      </c>
      <c r="J565" s="22" t="n">
        <f aca="false">IFERROR(G565/F565,0)</f>
        <v>0.192999806013579</v>
      </c>
      <c r="K565" s="23" t="n">
        <f aca="false">MONTH(B565)</f>
        <v>3</v>
      </c>
    </row>
    <row r="566" customFormat="false" ht="15" hidden="false" customHeight="true" outlineLevel="0" collapsed="false">
      <c r="A566" s="18" t="s">
        <v>619</v>
      </c>
      <c r="B566" s="19" t="n">
        <v>45459</v>
      </c>
      <c r="C566" s="18" t="s">
        <v>39</v>
      </c>
      <c r="D566" s="18" t="s">
        <v>55</v>
      </c>
      <c r="E566" s="18" t="s">
        <v>32</v>
      </c>
      <c r="F566" s="20" t="n">
        <v>141252</v>
      </c>
      <c r="G566" s="20" t="n">
        <v>16950.24</v>
      </c>
      <c r="H566" s="18" t="n">
        <v>4</v>
      </c>
      <c r="I566" s="20" t="n">
        <f aca="false">F566</f>
        <v>141252</v>
      </c>
      <c r="J566" s="22" t="n">
        <f aca="false">IFERROR(G566/F566,0)</f>
        <v>0.12</v>
      </c>
      <c r="K566" s="23" t="n">
        <f aca="false">MONTH(B566)</f>
        <v>6</v>
      </c>
    </row>
    <row r="567" customFormat="false" ht="15" hidden="false" customHeight="true" outlineLevel="0" collapsed="false">
      <c r="A567" s="18" t="s">
        <v>620</v>
      </c>
      <c r="B567" s="19" t="n">
        <v>45531</v>
      </c>
      <c r="C567" s="18" t="s">
        <v>19</v>
      </c>
      <c r="D567" s="18" t="s">
        <v>20</v>
      </c>
      <c r="E567" s="18" t="s">
        <v>21</v>
      </c>
      <c r="F567" s="20" t="n">
        <v>16834</v>
      </c>
      <c r="G567" s="20" t="n">
        <v>2373.59</v>
      </c>
      <c r="H567" s="18" t="n">
        <v>2</v>
      </c>
      <c r="I567" s="20" t="n">
        <f aca="false">F567</f>
        <v>16834</v>
      </c>
      <c r="J567" s="22" t="n">
        <f aca="false">IFERROR(G567/F567,0)</f>
        <v>0.140999762385648</v>
      </c>
      <c r="K567" s="23" t="n">
        <f aca="false">MONTH(B567)</f>
        <v>8</v>
      </c>
    </row>
    <row r="568" customFormat="false" ht="15" hidden="false" customHeight="true" outlineLevel="0" collapsed="false">
      <c r="A568" s="18" t="s">
        <v>621</v>
      </c>
      <c r="B568" s="19" t="n">
        <v>45489</v>
      </c>
      <c r="C568" s="18" t="s">
        <v>27</v>
      </c>
      <c r="D568" s="18" t="s">
        <v>24</v>
      </c>
      <c r="E568" s="18" t="s">
        <v>25</v>
      </c>
      <c r="F568" s="20" t="n">
        <v>13496</v>
      </c>
      <c r="G568" s="20" t="n">
        <v>4413.19</v>
      </c>
      <c r="H568" s="18" t="n">
        <v>7</v>
      </c>
      <c r="I568" s="20" t="n">
        <f aca="false">F568</f>
        <v>13496</v>
      </c>
      <c r="J568" s="22" t="n">
        <f aca="false">IFERROR(G568/F568,0)</f>
        <v>0.326999851807943</v>
      </c>
      <c r="K568" s="23" t="n">
        <f aca="false">MONTH(B568)</f>
        <v>7</v>
      </c>
    </row>
    <row r="569" customFormat="false" ht="15" hidden="false" customHeight="true" outlineLevel="0" collapsed="false">
      <c r="A569" s="18" t="s">
        <v>622</v>
      </c>
      <c r="B569" s="19" t="n">
        <v>45361</v>
      </c>
      <c r="C569" s="18" t="s">
        <v>27</v>
      </c>
      <c r="D569" s="18" t="s">
        <v>62</v>
      </c>
      <c r="E569" s="18" t="s">
        <v>50</v>
      </c>
      <c r="F569" s="20" t="n">
        <v>1068</v>
      </c>
      <c r="G569" s="20" t="n">
        <v>303.31</v>
      </c>
      <c r="H569" s="18" t="n">
        <v>6</v>
      </c>
      <c r="I569" s="20" t="n">
        <f aca="false">F569</f>
        <v>1068</v>
      </c>
      <c r="J569" s="22" t="n">
        <f aca="false">IFERROR(G569/F569,0)</f>
        <v>0.283998127340824</v>
      </c>
      <c r="K569" s="23" t="n">
        <f aca="false">MONTH(B569)</f>
        <v>3</v>
      </c>
    </row>
    <row r="570" customFormat="false" ht="15" hidden="false" customHeight="true" outlineLevel="0" collapsed="false">
      <c r="A570" s="18" t="s">
        <v>623</v>
      </c>
      <c r="B570" s="19" t="n">
        <v>45405</v>
      </c>
      <c r="C570" s="18" t="s">
        <v>27</v>
      </c>
      <c r="D570" s="18" t="s">
        <v>83</v>
      </c>
      <c r="E570" s="18" t="s">
        <v>21</v>
      </c>
      <c r="F570" s="20" t="n">
        <v>28200</v>
      </c>
      <c r="G570" s="20" t="n">
        <v>5865.6</v>
      </c>
      <c r="H570" s="18" t="n">
        <v>6</v>
      </c>
      <c r="I570" s="20" t="n">
        <f aca="false">F570</f>
        <v>28200</v>
      </c>
      <c r="J570" s="22" t="n">
        <f aca="false">IFERROR(G570/F570,0)</f>
        <v>0.208</v>
      </c>
      <c r="K570" s="23" t="n">
        <f aca="false">MONTH(B570)</f>
        <v>4</v>
      </c>
    </row>
    <row r="571" customFormat="false" ht="15" hidden="false" customHeight="true" outlineLevel="0" collapsed="false">
      <c r="A571" s="18" t="s">
        <v>624</v>
      </c>
      <c r="B571" s="19" t="n">
        <v>45535</v>
      </c>
      <c r="C571" s="18" t="s">
        <v>27</v>
      </c>
      <c r="D571" s="18" t="s">
        <v>83</v>
      </c>
      <c r="E571" s="18" t="s">
        <v>21</v>
      </c>
      <c r="F571" s="20" t="n">
        <v>28172</v>
      </c>
      <c r="G571" s="20" t="n">
        <v>6197.84</v>
      </c>
      <c r="H571" s="18" t="n">
        <v>4</v>
      </c>
      <c r="I571" s="20" t="n">
        <f aca="false">F571</f>
        <v>28172</v>
      </c>
      <c r="J571" s="22" t="n">
        <f aca="false">IFERROR(G571/F571,0)</f>
        <v>0.22</v>
      </c>
      <c r="K571" s="23" t="n">
        <f aca="false">MONTH(B571)</f>
        <v>8</v>
      </c>
    </row>
    <row r="572" customFormat="false" ht="15" hidden="false" customHeight="true" outlineLevel="0" collapsed="false">
      <c r="A572" s="18" t="s">
        <v>625</v>
      </c>
      <c r="B572" s="19" t="n">
        <v>45329</v>
      </c>
      <c r="C572" s="18" t="s">
        <v>19</v>
      </c>
      <c r="D572" s="18" t="s">
        <v>28</v>
      </c>
      <c r="E572" s="18" t="s">
        <v>29</v>
      </c>
      <c r="F572" s="20" t="n">
        <v>8748</v>
      </c>
      <c r="G572" s="20" t="n">
        <v>1565.89</v>
      </c>
      <c r="H572" s="18" t="n">
        <v>2</v>
      </c>
      <c r="I572" s="20" t="n">
        <f aca="false">F572</f>
        <v>8748</v>
      </c>
      <c r="J572" s="22" t="n">
        <f aca="false">IFERROR(G572/F572,0)</f>
        <v>0.178999771376315</v>
      </c>
      <c r="K572" s="23" t="n">
        <f aca="false">MONTH(B572)</f>
        <v>2</v>
      </c>
    </row>
    <row r="573" customFormat="false" ht="15" hidden="false" customHeight="true" outlineLevel="0" collapsed="false">
      <c r="A573" s="18" t="s">
        <v>626</v>
      </c>
      <c r="B573" s="19" t="n">
        <v>45593</v>
      </c>
      <c r="C573" s="18" t="s">
        <v>39</v>
      </c>
      <c r="D573" s="18" t="s">
        <v>31</v>
      </c>
      <c r="E573" s="18" t="s">
        <v>32</v>
      </c>
      <c r="F573" s="20" t="n">
        <v>162778</v>
      </c>
      <c r="G573" s="20" t="n">
        <v>23277.25</v>
      </c>
      <c r="H573" s="18" t="n">
        <v>2</v>
      </c>
      <c r="I573" s="20" t="n">
        <f aca="false">F573</f>
        <v>162778</v>
      </c>
      <c r="J573" s="22" t="n">
        <f aca="false">IFERROR(G573/F573,0)</f>
        <v>0.142999975426655</v>
      </c>
      <c r="K573" s="23" t="n">
        <f aca="false">MONTH(B573)</f>
        <v>10</v>
      </c>
    </row>
    <row r="574" customFormat="false" ht="15" hidden="false" customHeight="true" outlineLevel="0" collapsed="false">
      <c r="A574" s="18" t="s">
        <v>627</v>
      </c>
      <c r="B574" s="19" t="n">
        <v>45599</v>
      </c>
      <c r="C574" s="18" t="s">
        <v>23</v>
      </c>
      <c r="D574" s="18" t="s">
        <v>70</v>
      </c>
      <c r="E574" s="18" t="s">
        <v>21</v>
      </c>
      <c r="F574" s="20" t="n">
        <v>349929</v>
      </c>
      <c r="G574" s="20" t="n">
        <v>59487.93</v>
      </c>
      <c r="H574" s="18" t="n">
        <v>9</v>
      </c>
      <c r="I574" s="20" t="n">
        <f aca="false">F574</f>
        <v>349929</v>
      </c>
      <c r="J574" s="22" t="n">
        <f aca="false">IFERROR(G574/F574,0)</f>
        <v>0.17</v>
      </c>
      <c r="K574" s="23" t="n">
        <f aca="false">MONTH(B574)</f>
        <v>11</v>
      </c>
    </row>
    <row r="575" customFormat="false" ht="15" hidden="false" customHeight="true" outlineLevel="0" collapsed="false">
      <c r="A575" s="18" t="s">
        <v>628</v>
      </c>
      <c r="B575" s="19" t="n">
        <v>45400</v>
      </c>
      <c r="C575" s="18" t="s">
        <v>41</v>
      </c>
      <c r="D575" s="18" t="s">
        <v>46</v>
      </c>
      <c r="E575" s="18" t="s">
        <v>29</v>
      </c>
      <c r="F575" s="20" t="n">
        <v>56412</v>
      </c>
      <c r="G575" s="20" t="n">
        <v>6318.14</v>
      </c>
      <c r="H575" s="18" t="n">
        <v>9</v>
      </c>
      <c r="I575" s="20" t="n">
        <f aca="false">F575</f>
        <v>56412</v>
      </c>
      <c r="J575" s="22" t="n">
        <f aca="false">IFERROR(G575/F575,0)</f>
        <v>0.111999929093101</v>
      </c>
      <c r="K575" s="23" t="n">
        <f aca="false">MONTH(B575)</f>
        <v>4</v>
      </c>
    </row>
    <row r="576" customFormat="false" ht="15" hidden="false" customHeight="true" outlineLevel="0" collapsed="false">
      <c r="A576" s="18" t="s">
        <v>629</v>
      </c>
      <c r="B576" s="19" t="n">
        <v>45311</v>
      </c>
      <c r="C576" s="18" t="s">
        <v>39</v>
      </c>
      <c r="D576" s="18" t="s">
        <v>49</v>
      </c>
      <c r="E576" s="18" t="s">
        <v>50</v>
      </c>
      <c r="F576" s="20" t="n">
        <v>72</v>
      </c>
      <c r="G576" s="20" t="n">
        <v>28.73</v>
      </c>
      <c r="H576" s="18" t="n">
        <v>3</v>
      </c>
      <c r="I576" s="20" t="n">
        <f aca="false">F576</f>
        <v>72</v>
      </c>
      <c r="J576" s="22" t="n">
        <f aca="false">IFERROR(G576/F576,0)</f>
        <v>0.399027777777778</v>
      </c>
      <c r="K576" s="23" t="n">
        <f aca="false">MONTH(B576)</f>
        <v>1</v>
      </c>
    </row>
    <row r="577" customFormat="false" ht="15" hidden="false" customHeight="true" outlineLevel="0" collapsed="false">
      <c r="A577" s="18" t="s">
        <v>630</v>
      </c>
      <c r="B577" s="19" t="n">
        <v>45396</v>
      </c>
      <c r="C577" s="18" t="s">
        <v>19</v>
      </c>
      <c r="D577" s="18" t="s">
        <v>20</v>
      </c>
      <c r="E577" s="18" t="s">
        <v>21</v>
      </c>
      <c r="F577" s="20" t="n">
        <v>46560</v>
      </c>
      <c r="G577" s="20" t="n">
        <v>7123.68</v>
      </c>
      <c r="H577" s="18" t="n">
        <v>3</v>
      </c>
      <c r="I577" s="20" t="n">
        <f aca="false">F577</f>
        <v>46560</v>
      </c>
      <c r="J577" s="22" t="n">
        <f aca="false">IFERROR(G577/F577,0)</f>
        <v>0.153</v>
      </c>
      <c r="K577" s="23" t="n">
        <f aca="false">MONTH(B577)</f>
        <v>4</v>
      </c>
    </row>
    <row r="578" customFormat="false" ht="15" hidden="false" customHeight="true" outlineLevel="0" collapsed="false">
      <c r="A578" s="18" t="s">
        <v>631</v>
      </c>
      <c r="B578" s="19" t="n">
        <v>45623</v>
      </c>
      <c r="C578" s="18" t="s">
        <v>19</v>
      </c>
      <c r="D578" s="18" t="s">
        <v>31</v>
      </c>
      <c r="E578" s="18" t="s">
        <v>32</v>
      </c>
      <c r="F578" s="20" t="n">
        <v>642393</v>
      </c>
      <c r="G578" s="20" t="n">
        <v>60384.94</v>
      </c>
      <c r="H578" s="18" t="n">
        <v>9</v>
      </c>
      <c r="I578" s="20" t="n">
        <f aca="false">F578</f>
        <v>642393</v>
      </c>
      <c r="J578" s="22" t="n">
        <f aca="false">IFERROR(G578/F578,0)</f>
        <v>0.093999996886641</v>
      </c>
      <c r="K578" s="23" t="n">
        <f aca="false">MONTH(B578)</f>
        <v>11</v>
      </c>
    </row>
    <row r="579" customFormat="false" ht="15" hidden="false" customHeight="true" outlineLevel="0" collapsed="false">
      <c r="A579" s="18" t="s">
        <v>632</v>
      </c>
      <c r="B579" s="19" t="n">
        <v>45426</v>
      </c>
      <c r="C579" s="18" t="s">
        <v>23</v>
      </c>
      <c r="D579" s="18" t="s">
        <v>72</v>
      </c>
      <c r="E579" s="18" t="s">
        <v>29</v>
      </c>
      <c r="F579" s="20" t="n">
        <v>78480</v>
      </c>
      <c r="G579" s="20" t="n">
        <v>10830.24</v>
      </c>
      <c r="H579" s="18" t="n">
        <v>10</v>
      </c>
      <c r="I579" s="20" t="n">
        <f aca="false">F579</f>
        <v>78480</v>
      </c>
      <c r="J579" s="22" t="n">
        <f aca="false">IFERROR(G579/F579,0)</f>
        <v>0.138</v>
      </c>
      <c r="K579" s="23" t="n">
        <f aca="false">MONTH(B579)</f>
        <v>5</v>
      </c>
    </row>
    <row r="580" customFormat="false" ht="15" hidden="false" customHeight="true" outlineLevel="0" collapsed="false">
      <c r="A580" s="18" t="s">
        <v>633</v>
      </c>
      <c r="B580" s="19" t="n">
        <v>45584</v>
      </c>
      <c r="C580" s="18" t="s">
        <v>19</v>
      </c>
      <c r="D580" s="18" t="s">
        <v>46</v>
      </c>
      <c r="E580" s="18" t="s">
        <v>29</v>
      </c>
      <c r="F580" s="20" t="n">
        <v>41685</v>
      </c>
      <c r="G580" s="20" t="n">
        <v>4251.87</v>
      </c>
      <c r="H580" s="18" t="n">
        <v>5</v>
      </c>
      <c r="I580" s="20" t="n">
        <f aca="false">F580</f>
        <v>41685</v>
      </c>
      <c r="J580" s="22" t="n">
        <f aca="false">IFERROR(G580/F580,0)</f>
        <v>0.102</v>
      </c>
      <c r="K580" s="23" t="n">
        <f aca="false">MONTH(B580)</f>
        <v>10</v>
      </c>
    </row>
    <row r="581" customFormat="false" ht="15" hidden="false" customHeight="true" outlineLevel="0" collapsed="false">
      <c r="A581" s="18" t="s">
        <v>634</v>
      </c>
      <c r="B581" s="19" t="n">
        <v>45565</v>
      </c>
      <c r="C581" s="18" t="s">
        <v>27</v>
      </c>
      <c r="D581" s="18" t="s">
        <v>70</v>
      </c>
      <c r="E581" s="18" t="s">
        <v>21</v>
      </c>
      <c r="F581" s="20" t="n">
        <v>308688</v>
      </c>
      <c r="G581" s="20" t="n">
        <v>58650.72</v>
      </c>
      <c r="H581" s="18" t="n">
        <v>8</v>
      </c>
      <c r="I581" s="20" t="n">
        <f aca="false">F581</f>
        <v>308688</v>
      </c>
      <c r="J581" s="22" t="n">
        <f aca="false">IFERROR(G581/F581,0)</f>
        <v>0.19</v>
      </c>
      <c r="K581" s="23" t="n">
        <f aca="false">MONTH(B581)</f>
        <v>9</v>
      </c>
    </row>
    <row r="582" customFormat="false" ht="15" hidden="false" customHeight="true" outlineLevel="0" collapsed="false">
      <c r="A582" s="18" t="s">
        <v>635</v>
      </c>
      <c r="B582" s="19" t="n">
        <v>45430</v>
      </c>
      <c r="C582" s="18" t="s">
        <v>41</v>
      </c>
      <c r="D582" s="18" t="s">
        <v>93</v>
      </c>
      <c r="E582" s="18" t="s">
        <v>32</v>
      </c>
      <c r="F582" s="20" t="n">
        <v>9140</v>
      </c>
      <c r="G582" s="20" t="n">
        <v>1124.22</v>
      </c>
      <c r="H582" s="18" t="n">
        <v>2</v>
      </c>
      <c r="I582" s="20" t="n">
        <f aca="false">F582</f>
        <v>9140</v>
      </c>
      <c r="J582" s="22" t="n">
        <f aca="false">IFERROR(G582/F582,0)</f>
        <v>0.123</v>
      </c>
      <c r="K582" s="23" t="n">
        <f aca="false">MONTH(B582)</f>
        <v>5</v>
      </c>
    </row>
    <row r="583" customFormat="false" ht="15" hidden="false" customHeight="true" outlineLevel="0" collapsed="false">
      <c r="A583" s="18" t="s">
        <v>636</v>
      </c>
      <c r="B583" s="19" t="n">
        <v>45508</v>
      </c>
      <c r="C583" s="18" t="s">
        <v>39</v>
      </c>
      <c r="D583" s="18" t="s">
        <v>96</v>
      </c>
      <c r="E583" s="18" t="s">
        <v>50</v>
      </c>
      <c r="F583" s="20" t="n">
        <v>108</v>
      </c>
      <c r="G583" s="20" t="n">
        <v>29.92</v>
      </c>
      <c r="H583" s="18" t="n">
        <v>2</v>
      </c>
      <c r="I583" s="20" t="n">
        <f aca="false">F583</f>
        <v>108</v>
      </c>
      <c r="J583" s="22" t="n">
        <f aca="false">IFERROR(G583/F583,0)</f>
        <v>0.277037037037037</v>
      </c>
      <c r="K583" s="23" t="n">
        <f aca="false">MONTH(B583)</f>
        <v>8</v>
      </c>
    </row>
    <row r="584" customFormat="false" ht="15" hidden="false" customHeight="true" outlineLevel="0" collapsed="false">
      <c r="A584" s="18" t="s">
        <v>637</v>
      </c>
      <c r="B584" s="19" t="n">
        <v>45319</v>
      </c>
      <c r="C584" s="18" t="s">
        <v>41</v>
      </c>
      <c r="D584" s="18" t="s">
        <v>20</v>
      </c>
      <c r="E584" s="18" t="s">
        <v>21</v>
      </c>
      <c r="F584" s="20" t="n">
        <v>76455</v>
      </c>
      <c r="G584" s="20" t="n">
        <v>16973.01</v>
      </c>
      <c r="H584" s="18" t="n">
        <v>5</v>
      </c>
      <c r="I584" s="20" t="n">
        <f aca="false">F584</f>
        <v>76455</v>
      </c>
      <c r="J584" s="22" t="n">
        <f aca="false">IFERROR(G584/F584,0)</f>
        <v>0.222</v>
      </c>
      <c r="K584" s="23" t="n">
        <f aca="false">MONTH(B584)</f>
        <v>1</v>
      </c>
    </row>
    <row r="585" customFormat="false" ht="15" hidden="false" customHeight="true" outlineLevel="0" collapsed="false">
      <c r="A585" s="18" t="s">
        <v>638</v>
      </c>
      <c r="B585" s="19" t="n">
        <v>45619</v>
      </c>
      <c r="C585" s="18" t="s">
        <v>27</v>
      </c>
      <c r="D585" s="18" t="s">
        <v>49</v>
      </c>
      <c r="E585" s="18" t="s">
        <v>50</v>
      </c>
      <c r="F585" s="20" t="n">
        <v>549</v>
      </c>
      <c r="G585" s="20" t="n">
        <v>119.13</v>
      </c>
      <c r="H585" s="18" t="n">
        <v>9</v>
      </c>
      <c r="I585" s="20" t="n">
        <f aca="false">F585</f>
        <v>549</v>
      </c>
      <c r="J585" s="22" t="n">
        <f aca="false">IFERROR(G585/F585,0)</f>
        <v>0.216994535519126</v>
      </c>
      <c r="K585" s="23" t="n">
        <f aca="false">MONTH(B585)</f>
        <v>11</v>
      </c>
    </row>
    <row r="586" customFormat="false" ht="15" hidden="false" customHeight="true" outlineLevel="0" collapsed="false">
      <c r="A586" s="18" t="s">
        <v>639</v>
      </c>
      <c r="B586" s="19" t="n">
        <v>45338</v>
      </c>
      <c r="C586" s="18" t="s">
        <v>23</v>
      </c>
      <c r="D586" s="18" t="s">
        <v>120</v>
      </c>
      <c r="E586" s="18" t="s">
        <v>29</v>
      </c>
      <c r="F586" s="20" t="n">
        <v>110691</v>
      </c>
      <c r="G586" s="20" t="n">
        <v>16160.89</v>
      </c>
      <c r="H586" s="18" t="n">
        <v>9</v>
      </c>
      <c r="I586" s="20" t="n">
        <f aca="false">F586</f>
        <v>110691</v>
      </c>
      <c r="J586" s="22" t="n">
        <f aca="false">IFERROR(G586/F586,0)</f>
        <v>0.146000036136633</v>
      </c>
      <c r="K586" s="23" t="n">
        <f aca="false">MONTH(B586)</f>
        <v>2</v>
      </c>
    </row>
    <row r="587" customFormat="false" ht="15" hidden="false" customHeight="true" outlineLevel="0" collapsed="false">
      <c r="A587" s="18" t="s">
        <v>640</v>
      </c>
      <c r="B587" s="19" t="n">
        <v>45437</v>
      </c>
      <c r="C587" s="18" t="s">
        <v>39</v>
      </c>
      <c r="D587" s="18" t="s">
        <v>62</v>
      </c>
      <c r="E587" s="18" t="s">
        <v>50</v>
      </c>
      <c r="F587" s="20" t="n">
        <v>1053</v>
      </c>
      <c r="G587" s="20" t="n">
        <v>339.07</v>
      </c>
      <c r="H587" s="18" t="n">
        <v>9</v>
      </c>
      <c r="I587" s="20" t="n">
        <f aca="false">F587</f>
        <v>1053</v>
      </c>
      <c r="J587" s="22" t="n">
        <f aca="false">IFERROR(G587/F587,0)</f>
        <v>0.322003798670465</v>
      </c>
      <c r="K587" s="23" t="n">
        <f aca="false">MONTH(B587)</f>
        <v>5</v>
      </c>
    </row>
    <row r="588" customFormat="false" ht="15" hidden="false" customHeight="true" outlineLevel="0" collapsed="false">
      <c r="A588" s="18" t="s">
        <v>641</v>
      </c>
      <c r="B588" s="19" t="n">
        <v>45639</v>
      </c>
      <c r="C588" s="18" t="s">
        <v>27</v>
      </c>
      <c r="D588" s="18" t="s">
        <v>28</v>
      </c>
      <c r="E588" s="18" t="s">
        <v>29</v>
      </c>
      <c r="F588" s="20" t="n">
        <v>35238</v>
      </c>
      <c r="G588" s="20" t="n">
        <v>6589.51</v>
      </c>
      <c r="H588" s="18" t="n">
        <v>7</v>
      </c>
      <c r="I588" s="20" t="n">
        <f aca="false">F588</f>
        <v>35238</v>
      </c>
      <c r="J588" s="22" t="n">
        <f aca="false">IFERROR(G588/F588,0)</f>
        <v>0.18700011351382</v>
      </c>
      <c r="K588" s="23" t="n">
        <f aca="false">MONTH(B588)</f>
        <v>12</v>
      </c>
    </row>
    <row r="589" customFormat="false" ht="15" hidden="false" customHeight="true" outlineLevel="0" collapsed="false">
      <c r="A589" s="18" t="s">
        <v>642</v>
      </c>
      <c r="B589" s="19" t="n">
        <v>45443</v>
      </c>
      <c r="C589" s="18" t="s">
        <v>23</v>
      </c>
      <c r="D589" s="18" t="s">
        <v>93</v>
      </c>
      <c r="E589" s="18" t="s">
        <v>32</v>
      </c>
      <c r="F589" s="20" t="n">
        <v>33552</v>
      </c>
      <c r="G589" s="20" t="n">
        <v>4898.59</v>
      </c>
      <c r="H589" s="18" t="n">
        <v>4</v>
      </c>
      <c r="I589" s="20" t="n">
        <f aca="false">F589</f>
        <v>33552</v>
      </c>
      <c r="J589" s="22" t="n">
        <f aca="false">IFERROR(G589/F589,0)</f>
        <v>0.145999940391035</v>
      </c>
      <c r="K589" s="23" t="n">
        <f aca="false">MONTH(B589)</f>
        <v>5</v>
      </c>
    </row>
    <row r="590" customFormat="false" ht="15" hidden="false" customHeight="true" outlineLevel="0" collapsed="false">
      <c r="A590" s="18" t="s">
        <v>643</v>
      </c>
      <c r="B590" s="19" t="n">
        <v>45501</v>
      </c>
      <c r="C590" s="18" t="s">
        <v>23</v>
      </c>
      <c r="D590" s="18" t="s">
        <v>55</v>
      </c>
      <c r="E590" s="18" t="s">
        <v>32</v>
      </c>
      <c r="F590" s="20" t="n">
        <v>98328</v>
      </c>
      <c r="G590" s="20" t="n">
        <v>14159.23</v>
      </c>
      <c r="H590" s="18" t="n">
        <v>3</v>
      </c>
      <c r="I590" s="20" t="n">
        <f aca="false">F590</f>
        <v>98328</v>
      </c>
      <c r="J590" s="22" t="n">
        <f aca="false">IFERROR(G590/F590,0)</f>
        <v>0.143999979659914</v>
      </c>
      <c r="K590" s="23" t="n">
        <f aca="false">MONTH(B590)</f>
        <v>7</v>
      </c>
    </row>
    <row r="591" customFormat="false" ht="15" hidden="false" customHeight="true" outlineLevel="0" collapsed="false">
      <c r="A591" s="18" t="s">
        <v>644</v>
      </c>
      <c r="B591" s="19" t="n">
        <v>45624</v>
      </c>
      <c r="C591" s="18" t="s">
        <v>19</v>
      </c>
      <c r="D591" s="18" t="s">
        <v>62</v>
      </c>
      <c r="E591" s="18" t="s">
        <v>50</v>
      </c>
      <c r="F591" s="20" t="n">
        <v>1395</v>
      </c>
      <c r="G591" s="20" t="n">
        <v>312.48</v>
      </c>
      <c r="H591" s="18" t="n">
        <v>9</v>
      </c>
      <c r="I591" s="20" t="n">
        <f aca="false">F591</f>
        <v>1395</v>
      </c>
      <c r="J591" s="22" t="n">
        <f aca="false">IFERROR(G591/F591,0)</f>
        <v>0.224</v>
      </c>
      <c r="K591" s="23" t="n">
        <f aca="false">MONTH(B591)</f>
        <v>11</v>
      </c>
    </row>
    <row r="592" customFormat="false" ht="15" hidden="false" customHeight="true" outlineLevel="0" collapsed="false">
      <c r="A592" s="18" t="s">
        <v>645</v>
      </c>
      <c r="B592" s="19" t="n">
        <v>45422</v>
      </c>
      <c r="C592" s="18" t="s">
        <v>41</v>
      </c>
      <c r="D592" s="18" t="s">
        <v>70</v>
      </c>
      <c r="E592" s="18" t="s">
        <v>21</v>
      </c>
      <c r="F592" s="20" t="n">
        <v>266040</v>
      </c>
      <c r="G592" s="20" t="n">
        <v>64381.68</v>
      </c>
      <c r="H592" s="18" t="n">
        <v>8</v>
      </c>
      <c r="I592" s="20" t="n">
        <f aca="false">F592</f>
        <v>266040</v>
      </c>
      <c r="J592" s="22" t="n">
        <f aca="false">IFERROR(G592/F592,0)</f>
        <v>0.242</v>
      </c>
      <c r="K592" s="23" t="n">
        <f aca="false">MONTH(B592)</f>
        <v>5</v>
      </c>
    </row>
    <row r="593" customFormat="false" ht="15" hidden="false" customHeight="true" outlineLevel="0" collapsed="false">
      <c r="A593" s="18" t="s">
        <v>109</v>
      </c>
      <c r="B593" s="19" t="n">
        <v>45380</v>
      </c>
      <c r="C593" s="18" t="s">
        <v>27</v>
      </c>
      <c r="D593" s="18" t="s">
        <v>72</v>
      </c>
      <c r="E593" s="18" t="s">
        <v>29</v>
      </c>
      <c r="F593" s="20" t="n">
        <v>83700</v>
      </c>
      <c r="G593" s="20" t="n">
        <v>11299.5</v>
      </c>
      <c r="H593" s="18" t="n">
        <v>6</v>
      </c>
      <c r="I593" s="20" t="n">
        <f aca="false">F593</f>
        <v>83700</v>
      </c>
      <c r="J593" s="22" t="n">
        <f aca="false">IFERROR(G593/F593,0)</f>
        <v>0.135</v>
      </c>
      <c r="K593" s="23" t="n">
        <f aca="false">MONTH(B593)</f>
        <v>3</v>
      </c>
    </row>
    <row r="594" customFormat="false" ht="15" hidden="false" customHeight="true" outlineLevel="0" collapsed="false">
      <c r="A594" s="18" t="s">
        <v>646</v>
      </c>
      <c r="B594" s="19" t="n">
        <v>45442</v>
      </c>
      <c r="C594" s="18" t="s">
        <v>19</v>
      </c>
      <c r="D594" s="18" t="s">
        <v>52</v>
      </c>
      <c r="E594" s="18" t="s">
        <v>32</v>
      </c>
      <c r="F594" s="20" t="n">
        <v>26199</v>
      </c>
      <c r="G594" s="20" t="n">
        <v>4401.43</v>
      </c>
      <c r="H594" s="18" t="n">
        <v>9</v>
      </c>
      <c r="I594" s="20" t="n">
        <f aca="false">F594</f>
        <v>26199</v>
      </c>
      <c r="J594" s="22" t="n">
        <f aca="false">IFERROR(G594/F594,0)</f>
        <v>0.167999923661208</v>
      </c>
      <c r="K594" s="23" t="n">
        <f aca="false">MONTH(B594)</f>
        <v>5</v>
      </c>
    </row>
    <row r="595" customFormat="false" ht="15" hidden="false" customHeight="true" outlineLevel="0" collapsed="false">
      <c r="A595" s="18" t="s">
        <v>647</v>
      </c>
      <c r="B595" s="19" t="n">
        <v>45509</v>
      </c>
      <c r="C595" s="18" t="s">
        <v>41</v>
      </c>
      <c r="D595" s="18" t="s">
        <v>49</v>
      </c>
      <c r="E595" s="18" t="s">
        <v>50</v>
      </c>
      <c r="F595" s="20" t="n">
        <v>430</v>
      </c>
      <c r="G595" s="20" t="n">
        <v>132.87</v>
      </c>
      <c r="H595" s="18" t="n">
        <v>10</v>
      </c>
      <c r="I595" s="20" t="n">
        <f aca="false">F595</f>
        <v>430</v>
      </c>
      <c r="J595" s="22" t="n">
        <f aca="false">IFERROR(G595/F595,0)</f>
        <v>0.309</v>
      </c>
      <c r="K595" s="23" t="n">
        <f aca="false">MONTH(B595)</f>
        <v>8</v>
      </c>
    </row>
    <row r="596" customFormat="false" ht="15" hidden="false" customHeight="true" outlineLevel="0" collapsed="false">
      <c r="A596" s="18" t="s">
        <v>648</v>
      </c>
      <c r="B596" s="19" t="n">
        <v>45440</v>
      </c>
      <c r="C596" s="18" t="s">
        <v>39</v>
      </c>
      <c r="D596" s="18" t="s">
        <v>91</v>
      </c>
      <c r="E596" s="18" t="s">
        <v>25</v>
      </c>
      <c r="F596" s="20" t="n">
        <v>25060</v>
      </c>
      <c r="G596" s="20" t="n">
        <v>6640.9</v>
      </c>
      <c r="H596" s="18" t="n">
        <v>10</v>
      </c>
      <c r="I596" s="20" t="n">
        <f aca="false">F596</f>
        <v>25060</v>
      </c>
      <c r="J596" s="22" t="n">
        <f aca="false">IFERROR(G596/F596,0)</f>
        <v>0.265</v>
      </c>
      <c r="K596" s="23" t="n">
        <f aca="false">MONTH(B596)</f>
        <v>5</v>
      </c>
    </row>
    <row r="597" customFormat="false" ht="15" hidden="false" customHeight="true" outlineLevel="0" collapsed="false">
      <c r="A597" s="18" t="s">
        <v>649</v>
      </c>
      <c r="B597" s="19" t="n">
        <v>45644</v>
      </c>
      <c r="C597" s="18" t="s">
        <v>41</v>
      </c>
      <c r="D597" s="18" t="s">
        <v>44</v>
      </c>
      <c r="E597" s="18" t="s">
        <v>32</v>
      </c>
      <c r="F597" s="20" t="n">
        <v>34432</v>
      </c>
      <c r="G597" s="20" t="n">
        <v>4407.3</v>
      </c>
      <c r="H597" s="18" t="n">
        <v>8</v>
      </c>
      <c r="I597" s="20" t="n">
        <f aca="false">F597</f>
        <v>34432</v>
      </c>
      <c r="J597" s="22" t="n">
        <f aca="false">IFERROR(G597/F597,0)</f>
        <v>0.128000116171004</v>
      </c>
      <c r="K597" s="23" t="n">
        <f aca="false">MONTH(B597)</f>
        <v>12</v>
      </c>
    </row>
    <row r="598" customFormat="false" ht="15" hidden="false" customHeight="true" outlineLevel="0" collapsed="false">
      <c r="A598" s="18" t="s">
        <v>650</v>
      </c>
      <c r="B598" s="19" t="n">
        <v>45568</v>
      </c>
      <c r="C598" s="18" t="s">
        <v>19</v>
      </c>
      <c r="D598" s="18" t="s">
        <v>24</v>
      </c>
      <c r="E598" s="18" t="s">
        <v>25</v>
      </c>
      <c r="F598" s="20" t="n">
        <v>2475</v>
      </c>
      <c r="G598" s="20" t="n">
        <v>697.95</v>
      </c>
      <c r="H598" s="18" t="n">
        <v>3</v>
      </c>
      <c r="I598" s="20" t="n">
        <f aca="false">F598</f>
        <v>2475</v>
      </c>
      <c r="J598" s="22" t="n">
        <f aca="false">IFERROR(G598/F598,0)</f>
        <v>0.282</v>
      </c>
      <c r="K598" s="23" t="n">
        <f aca="false">MONTH(B598)</f>
        <v>10</v>
      </c>
    </row>
    <row r="599" customFormat="false" ht="15" hidden="false" customHeight="true" outlineLevel="0" collapsed="false">
      <c r="A599" s="18" t="s">
        <v>651</v>
      </c>
      <c r="B599" s="19" t="n">
        <v>45589</v>
      </c>
      <c r="C599" s="18" t="s">
        <v>23</v>
      </c>
      <c r="D599" s="18" t="s">
        <v>42</v>
      </c>
      <c r="E599" s="18" t="s">
        <v>21</v>
      </c>
      <c r="F599" s="20" t="n">
        <v>81032</v>
      </c>
      <c r="G599" s="20" t="n">
        <v>13856.47</v>
      </c>
      <c r="H599" s="18" t="n">
        <v>8</v>
      </c>
      <c r="I599" s="20" t="n">
        <f aca="false">F599</f>
        <v>81032</v>
      </c>
      <c r="J599" s="22" t="n">
        <f aca="false">IFERROR(G599/F599,0)</f>
        <v>0.170999975318393</v>
      </c>
      <c r="K599" s="23" t="n">
        <f aca="false">MONTH(B599)</f>
        <v>10</v>
      </c>
    </row>
    <row r="600" customFormat="false" ht="15" hidden="false" customHeight="true" outlineLevel="0" collapsed="false">
      <c r="A600" s="18" t="s">
        <v>652</v>
      </c>
      <c r="B600" s="19" t="n">
        <v>45582</v>
      </c>
      <c r="C600" s="18" t="s">
        <v>19</v>
      </c>
      <c r="D600" s="18" t="s">
        <v>20</v>
      </c>
      <c r="E600" s="18" t="s">
        <v>21</v>
      </c>
      <c r="F600" s="20" t="n">
        <v>75856</v>
      </c>
      <c r="G600" s="20" t="n">
        <v>17826.16</v>
      </c>
      <c r="H600" s="18" t="n">
        <v>8</v>
      </c>
      <c r="I600" s="20" t="n">
        <f aca="false">F600</f>
        <v>75856</v>
      </c>
      <c r="J600" s="22" t="n">
        <f aca="false">IFERROR(G600/F600,0)</f>
        <v>0.235</v>
      </c>
      <c r="K600" s="23" t="n">
        <f aca="false">MONTH(B600)</f>
        <v>10</v>
      </c>
    </row>
    <row r="601" customFormat="false" ht="15" hidden="false" customHeight="true" outlineLevel="0" collapsed="false">
      <c r="A601" s="18" t="s">
        <v>653</v>
      </c>
      <c r="B601" s="19" t="n">
        <v>45428</v>
      </c>
      <c r="C601" s="18" t="s">
        <v>39</v>
      </c>
      <c r="D601" s="18" t="s">
        <v>55</v>
      </c>
      <c r="E601" s="18" t="s">
        <v>32</v>
      </c>
      <c r="F601" s="20" t="n">
        <v>22873</v>
      </c>
      <c r="G601" s="20" t="n">
        <v>3636.81</v>
      </c>
      <c r="H601" s="18" t="n">
        <v>1</v>
      </c>
      <c r="I601" s="20" t="n">
        <f aca="false">F601</f>
        <v>22873</v>
      </c>
      <c r="J601" s="22" t="n">
        <f aca="false">IFERROR(G601/F601,0)</f>
        <v>0.159000131159008</v>
      </c>
      <c r="K601" s="23" t="n">
        <f aca="false">MONTH(B601)</f>
        <v>5</v>
      </c>
    </row>
    <row r="602" customFormat="false" ht="15" hidden="false" customHeight="true" outlineLevel="0" collapsed="false">
      <c r="A602" s="18" t="s">
        <v>654</v>
      </c>
      <c r="B602" s="19" t="n">
        <v>45648</v>
      </c>
      <c r="C602" s="18" t="s">
        <v>23</v>
      </c>
      <c r="D602" s="18" t="s">
        <v>62</v>
      </c>
      <c r="E602" s="18" t="s">
        <v>50</v>
      </c>
      <c r="F602" s="20" t="n">
        <v>182</v>
      </c>
      <c r="G602" s="20" t="n">
        <v>45.5</v>
      </c>
      <c r="H602" s="18" t="n">
        <v>1</v>
      </c>
      <c r="I602" s="20" t="n">
        <f aca="false">F602</f>
        <v>182</v>
      </c>
      <c r="J602" s="22" t="n">
        <f aca="false">IFERROR(G602/F602,0)</f>
        <v>0.25</v>
      </c>
      <c r="K602" s="23" t="n">
        <f aca="false">MONTH(B602)</f>
        <v>12</v>
      </c>
    </row>
    <row r="603" customFormat="false" ht="15" hidden="false" customHeight="true" outlineLevel="0" collapsed="false">
      <c r="A603" s="18" t="s">
        <v>655</v>
      </c>
      <c r="B603" s="19" t="n">
        <v>45579</v>
      </c>
      <c r="C603" s="18" t="s">
        <v>19</v>
      </c>
      <c r="D603" s="18" t="s">
        <v>34</v>
      </c>
      <c r="E603" s="18" t="s">
        <v>25</v>
      </c>
      <c r="F603" s="20" t="n">
        <v>2282</v>
      </c>
      <c r="G603" s="20" t="n">
        <v>504.32</v>
      </c>
      <c r="H603" s="18" t="n">
        <v>2</v>
      </c>
      <c r="I603" s="20" t="n">
        <f aca="false">F603</f>
        <v>2282</v>
      </c>
      <c r="J603" s="22" t="n">
        <f aca="false">IFERROR(G603/F603,0)</f>
        <v>0.220999123575811</v>
      </c>
      <c r="K603" s="23" t="n">
        <f aca="false">MONTH(B603)</f>
        <v>10</v>
      </c>
    </row>
    <row r="604" customFormat="false" ht="15" hidden="false" customHeight="true" outlineLevel="0" collapsed="false">
      <c r="A604" s="18" t="s">
        <v>656</v>
      </c>
      <c r="B604" s="19" t="n">
        <v>45506</v>
      </c>
      <c r="C604" s="18" t="s">
        <v>41</v>
      </c>
      <c r="D604" s="18" t="s">
        <v>49</v>
      </c>
      <c r="E604" s="18" t="s">
        <v>50</v>
      </c>
      <c r="F604" s="20" t="n">
        <v>114</v>
      </c>
      <c r="G604" s="20" t="n">
        <v>35.68</v>
      </c>
      <c r="H604" s="18" t="n">
        <v>3</v>
      </c>
      <c r="I604" s="20" t="n">
        <f aca="false">F604</f>
        <v>114</v>
      </c>
      <c r="J604" s="22" t="n">
        <f aca="false">IFERROR(G604/F604,0)</f>
        <v>0.312982456140351</v>
      </c>
      <c r="K604" s="23" t="n">
        <f aca="false">MONTH(B604)</f>
        <v>8</v>
      </c>
    </row>
    <row r="605" customFormat="false" ht="15" hidden="false" customHeight="true" outlineLevel="0" collapsed="false">
      <c r="A605" s="18" t="s">
        <v>657</v>
      </c>
      <c r="B605" s="19" t="n">
        <v>45396</v>
      </c>
      <c r="C605" s="18" t="s">
        <v>19</v>
      </c>
      <c r="D605" s="18" t="s">
        <v>70</v>
      </c>
      <c r="E605" s="18" t="s">
        <v>21</v>
      </c>
      <c r="F605" s="20" t="n">
        <v>80486</v>
      </c>
      <c r="G605" s="20" t="n">
        <v>15533.8</v>
      </c>
      <c r="H605" s="18" t="n">
        <v>7</v>
      </c>
      <c r="I605" s="20" t="n">
        <f aca="false">F605</f>
        <v>80486</v>
      </c>
      <c r="J605" s="22" t="n">
        <f aca="false">IFERROR(G605/F605,0)</f>
        <v>0.193000024849042</v>
      </c>
      <c r="K605" s="23" t="n">
        <f aca="false">MONTH(B605)</f>
        <v>4</v>
      </c>
    </row>
    <row r="606" customFormat="false" ht="15" hidden="false" customHeight="true" outlineLevel="0" collapsed="false">
      <c r="A606" s="18" t="s">
        <v>658</v>
      </c>
      <c r="B606" s="19" t="n">
        <v>45606</v>
      </c>
      <c r="C606" s="18" t="s">
        <v>23</v>
      </c>
      <c r="D606" s="18" t="s">
        <v>64</v>
      </c>
      <c r="E606" s="18" t="s">
        <v>32</v>
      </c>
      <c r="F606" s="20" t="n">
        <v>386874</v>
      </c>
      <c r="G606" s="20" t="n">
        <v>59965.47</v>
      </c>
      <c r="H606" s="18" t="n">
        <v>9</v>
      </c>
      <c r="I606" s="20" t="n">
        <f aca="false">F606</f>
        <v>386874</v>
      </c>
      <c r="J606" s="22" t="n">
        <f aca="false">IFERROR(G606/F606,0)</f>
        <v>0.155</v>
      </c>
      <c r="K606" s="23" t="n">
        <f aca="false">MONTH(B606)</f>
        <v>11</v>
      </c>
    </row>
    <row r="607" customFormat="false" ht="15" hidden="false" customHeight="true" outlineLevel="0" collapsed="false">
      <c r="A607" s="18" t="s">
        <v>659</v>
      </c>
      <c r="B607" s="19" t="n">
        <v>45498</v>
      </c>
      <c r="C607" s="18" t="s">
        <v>41</v>
      </c>
      <c r="D607" s="18" t="s">
        <v>42</v>
      </c>
      <c r="E607" s="18" t="s">
        <v>21</v>
      </c>
      <c r="F607" s="20" t="n">
        <v>63652</v>
      </c>
      <c r="G607" s="20" t="n">
        <v>15785.7</v>
      </c>
      <c r="H607" s="18" t="n">
        <v>4</v>
      </c>
      <c r="I607" s="20" t="n">
        <f aca="false">F607</f>
        <v>63652</v>
      </c>
      <c r="J607" s="22" t="n">
        <f aca="false">IFERROR(G607/F607,0)</f>
        <v>0.248000062841702</v>
      </c>
      <c r="K607" s="23" t="n">
        <f aca="false">MONTH(B607)</f>
        <v>7</v>
      </c>
    </row>
    <row r="608" customFormat="false" ht="15" hidden="false" customHeight="true" outlineLevel="0" collapsed="false">
      <c r="A608" s="18" t="s">
        <v>660</v>
      </c>
      <c r="B608" s="19" t="n">
        <v>45314</v>
      </c>
      <c r="C608" s="18" t="s">
        <v>27</v>
      </c>
      <c r="D608" s="18" t="s">
        <v>58</v>
      </c>
      <c r="E608" s="18" t="s">
        <v>50</v>
      </c>
      <c r="F608" s="20" t="n">
        <v>344</v>
      </c>
      <c r="G608" s="20" t="n">
        <v>110.77</v>
      </c>
      <c r="H608" s="18" t="n">
        <v>4</v>
      </c>
      <c r="I608" s="20" t="n">
        <f aca="false">F608</f>
        <v>344</v>
      </c>
      <c r="J608" s="22" t="n">
        <f aca="false">IFERROR(G608/F608,0)</f>
        <v>0.322005813953488</v>
      </c>
      <c r="K608" s="23" t="n">
        <f aca="false">MONTH(B608)</f>
        <v>1</v>
      </c>
    </row>
    <row r="609" customFormat="false" ht="15" hidden="false" customHeight="true" outlineLevel="0" collapsed="false">
      <c r="A609" s="18" t="s">
        <v>661</v>
      </c>
      <c r="B609" s="19" t="n">
        <v>45571</v>
      </c>
      <c r="C609" s="18" t="s">
        <v>23</v>
      </c>
      <c r="D609" s="18" t="s">
        <v>42</v>
      </c>
      <c r="E609" s="18" t="s">
        <v>21</v>
      </c>
      <c r="F609" s="20" t="n">
        <v>60760</v>
      </c>
      <c r="G609" s="20" t="n">
        <v>9417.8</v>
      </c>
      <c r="H609" s="18" t="n">
        <v>8</v>
      </c>
      <c r="I609" s="20" t="n">
        <f aca="false">F609</f>
        <v>60760</v>
      </c>
      <c r="J609" s="22" t="n">
        <f aca="false">IFERROR(G609/F609,0)</f>
        <v>0.155</v>
      </c>
      <c r="K609" s="23" t="n">
        <f aca="false">MONTH(B609)</f>
        <v>10</v>
      </c>
    </row>
    <row r="610" customFormat="false" ht="15" hidden="false" customHeight="true" outlineLevel="0" collapsed="false">
      <c r="A610" s="18" t="s">
        <v>662</v>
      </c>
      <c r="B610" s="19" t="n">
        <v>45641</v>
      </c>
      <c r="C610" s="18" t="s">
        <v>39</v>
      </c>
      <c r="D610" s="18" t="s">
        <v>44</v>
      </c>
      <c r="E610" s="18" t="s">
        <v>32</v>
      </c>
      <c r="F610" s="20" t="n">
        <v>4638</v>
      </c>
      <c r="G610" s="20" t="n">
        <v>653.96</v>
      </c>
      <c r="H610" s="18" t="n">
        <v>3</v>
      </c>
      <c r="I610" s="20" t="n">
        <f aca="false">F610</f>
        <v>4638</v>
      </c>
      <c r="J610" s="22" t="n">
        <f aca="false">IFERROR(G610/F610,0)</f>
        <v>0.141000431220354</v>
      </c>
      <c r="K610" s="23" t="n">
        <f aca="false">MONTH(B610)</f>
        <v>12</v>
      </c>
    </row>
    <row r="611" customFormat="false" ht="15" hidden="false" customHeight="true" outlineLevel="0" collapsed="false">
      <c r="A611" s="18" t="s">
        <v>663</v>
      </c>
      <c r="B611" s="19" t="n">
        <v>45566</v>
      </c>
      <c r="C611" s="18" t="s">
        <v>19</v>
      </c>
      <c r="D611" s="18" t="s">
        <v>36</v>
      </c>
      <c r="E611" s="18" t="s">
        <v>25</v>
      </c>
      <c r="F611" s="20" t="n">
        <v>14478</v>
      </c>
      <c r="G611" s="20" t="n">
        <v>3025.9</v>
      </c>
      <c r="H611" s="18" t="n">
        <v>6</v>
      </c>
      <c r="I611" s="20" t="n">
        <f aca="false">F611</f>
        <v>14478</v>
      </c>
      <c r="J611" s="22" t="n">
        <f aca="false">IFERROR(G611/F611,0)</f>
        <v>0.208999861859373</v>
      </c>
      <c r="K611" s="23" t="n">
        <f aca="false">MONTH(B611)</f>
        <v>10</v>
      </c>
    </row>
    <row r="612" customFormat="false" ht="15" hidden="false" customHeight="true" outlineLevel="0" collapsed="false">
      <c r="A612" s="18" t="s">
        <v>664</v>
      </c>
      <c r="B612" s="19" t="n">
        <v>45590</v>
      </c>
      <c r="C612" s="18" t="s">
        <v>41</v>
      </c>
      <c r="D612" s="18" t="s">
        <v>52</v>
      </c>
      <c r="E612" s="18" t="s">
        <v>32</v>
      </c>
      <c r="F612" s="20" t="n">
        <v>71860</v>
      </c>
      <c r="G612" s="20" t="n">
        <v>6467.4</v>
      </c>
      <c r="H612" s="18" t="n">
        <v>10</v>
      </c>
      <c r="I612" s="20" t="n">
        <f aca="false">F612</f>
        <v>71860</v>
      </c>
      <c r="J612" s="22" t="n">
        <f aca="false">IFERROR(G612/F612,0)</f>
        <v>0.09</v>
      </c>
      <c r="K612" s="23" t="n">
        <f aca="false">MONTH(B612)</f>
        <v>10</v>
      </c>
    </row>
    <row r="613" customFormat="false" ht="15" hidden="false" customHeight="true" outlineLevel="0" collapsed="false">
      <c r="A613" s="18" t="s">
        <v>665</v>
      </c>
      <c r="B613" s="19" t="n">
        <v>45327</v>
      </c>
      <c r="C613" s="18" t="s">
        <v>23</v>
      </c>
      <c r="D613" s="18" t="s">
        <v>55</v>
      </c>
      <c r="E613" s="18" t="s">
        <v>32</v>
      </c>
      <c r="F613" s="20" t="n">
        <v>153844</v>
      </c>
      <c r="G613" s="20" t="n">
        <v>14153.65</v>
      </c>
      <c r="H613" s="18" t="n">
        <v>4</v>
      </c>
      <c r="I613" s="20" t="n">
        <f aca="false">F613</f>
        <v>153844</v>
      </c>
      <c r="J613" s="22" t="n">
        <f aca="false">IFERROR(G613/F613,0)</f>
        <v>0.092000013000182</v>
      </c>
      <c r="K613" s="23" t="n">
        <f aca="false">MONTH(B613)</f>
        <v>2</v>
      </c>
    </row>
    <row r="614" customFormat="false" ht="15" hidden="false" customHeight="true" outlineLevel="0" collapsed="false">
      <c r="A614" s="18" t="s">
        <v>666</v>
      </c>
      <c r="B614" s="19" t="n">
        <v>45596</v>
      </c>
      <c r="C614" s="18" t="s">
        <v>23</v>
      </c>
      <c r="D614" s="18" t="s">
        <v>86</v>
      </c>
      <c r="E614" s="18" t="s">
        <v>21</v>
      </c>
      <c r="F614" s="20" t="n">
        <v>185192</v>
      </c>
      <c r="G614" s="20" t="n">
        <v>33519.75</v>
      </c>
      <c r="H614" s="18" t="n">
        <v>8</v>
      </c>
      <c r="I614" s="20" t="n">
        <f aca="false">F614</f>
        <v>185192</v>
      </c>
      <c r="J614" s="22" t="n">
        <f aca="false">IFERROR(G614/F614,0)</f>
        <v>0.180999989200397</v>
      </c>
      <c r="K614" s="23" t="n">
        <f aca="false">MONTH(B614)</f>
        <v>10</v>
      </c>
    </row>
    <row r="615" customFormat="false" ht="15" hidden="false" customHeight="true" outlineLevel="0" collapsed="false">
      <c r="A615" s="18" t="s">
        <v>667</v>
      </c>
      <c r="B615" s="19" t="n">
        <v>45316</v>
      </c>
      <c r="C615" s="18" t="s">
        <v>41</v>
      </c>
      <c r="D615" s="18" t="s">
        <v>93</v>
      </c>
      <c r="E615" s="18" t="s">
        <v>32</v>
      </c>
      <c r="F615" s="20" t="n">
        <v>43431</v>
      </c>
      <c r="G615" s="20" t="n">
        <v>6427.79</v>
      </c>
      <c r="H615" s="18" t="n">
        <v>3</v>
      </c>
      <c r="I615" s="20" t="n">
        <f aca="false">F615</f>
        <v>43431</v>
      </c>
      <c r="J615" s="22" t="n">
        <f aca="false">IFERROR(G615/F615,0)</f>
        <v>0.148000046050056</v>
      </c>
      <c r="K615" s="23" t="n">
        <f aca="false">MONTH(B615)</f>
        <v>1</v>
      </c>
    </row>
    <row r="616" customFormat="false" ht="15" hidden="false" customHeight="true" outlineLevel="0" collapsed="false">
      <c r="A616" s="18" t="s">
        <v>668</v>
      </c>
      <c r="B616" s="19" t="n">
        <v>45479</v>
      </c>
      <c r="C616" s="18" t="s">
        <v>27</v>
      </c>
      <c r="D616" s="18" t="s">
        <v>70</v>
      </c>
      <c r="E616" s="18" t="s">
        <v>21</v>
      </c>
      <c r="F616" s="20" t="n">
        <v>90895</v>
      </c>
      <c r="G616" s="20" t="n">
        <v>22269.27</v>
      </c>
      <c r="H616" s="18" t="n">
        <v>5</v>
      </c>
      <c r="I616" s="20" t="n">
        <f aca="false">F616</f>
        <v>90895</v>
      </c>
      <c r="J616" s="22" t="n">
        <f aca="false">IFERROR(G616/F616,0)</f>
        <v>0.244999944991474</v>
      </c>
      <c r="K616" s="23" t="n">
        <f aca="false">MONTH(B616)</f>
        <v>7</v>
      </c>
    </row>
    <row r="617" customFormat="false" ht="15" hidden="false" customHeight="true" outlineLevel="0" collapsed="false">
      <c r="A617" s="18" t="s">
        <v>669</v>
      </c>
      <c r="B617" s="19" t="n">
        <v>45442</v>
      </c>
      <c r="C617" s="18" t="s">
        <v>39</v>
      </c>
      <c r="D617" s="18" t="s">
        <v>44</v>
      </c>
      <c r="E617" s="18" t="s">
        <v>32</v>
      </c>
      <c r="F617" s="20" t="n">
        <v>5592</v>
      </c>
      <c r="G617" s="20" t="n">
        <v>665.45</v>
      </c>
      <c r="H617" s="18" t="n">
        <v>1</v>
      </c>
      <c r="I617" s="20" t="n">
        <f aca="false">F617</f>
        <v>5592</v>
      </c>
      <c r="J617" s="22" t="n">
        <f aca="false">IFERROR(G617/F617,0)</f>
        <v>0.119000357653791</v>
      </c>
      <c r="K617" s="23" t="n">
        <f aca="false">MONTH(B617)</f>
        <v>5</v>
      </c>
    </row>
    <row r="618" customFormat="false" ht="15" hidden="false" customHeight="true" outlineLevel="0" collapsed="false">
      <c r="A618" s="18" t="s">
        <v>670</v>
      </c>
      <c r="B618" s="19" t="n">
        <v>45433</v>
      </c>
      <c r="C618" s="18" t="s">
        <v>23</v>
      </c>
      <c r="D618" s="18" t="s">
        <v>62</v>
      </c>
      <c r="E618" s="18" t="s">
        <v>50</v>
      </c>
      <c r="F618" s="20" t="n">
        <v>199</v>
      </c>
      <c r="G618" s="20" t="n">
        <v>63.28</v>
      </c>
      <c r="H618" s="18" t="n">
        <v>1</v>
      </c>
      <c r="I618" s="20" t="n">
        <f aca="false">F618</f>
        <v>199</v>
      </c>
      <c r="J618" s="22" t="n">
        <f aca="false">IFERROR(G618/F618,0)</f>
        <v>0.317989949748744</v>
      </c>
      <c r="K618" s="23" t="n">
        <f aca="false">MONTH(B618)</f>
        <v>5</v>
      </c>
    </row>
    <row r="619" customFormat="false" ht="15" hidden="false" customHeight="true" outlineLevel="0" collapsed="false">
      <c r="A619" s="18" t="s">
        <v>671</v>
      </c>
      <c r="B619" s="19" t="n">
        <v>45435</v>
      </c>
      <c r="C619" s="18" t="s">
        <v>39</v>
      </c>
      <c r="D619" s="18" t="s">
        <v>72</v>
      </c>
      <c r="E619" s="18" t="s">
        <v>29</v>
      </c>
      <c r="F619" s="20" t="n">
        <v>37248</v>
      </c>
      <c r="G619" s="20" t="n">
        <v>6443.9</v>
      </c>
      <c r="H619" s="18" t="n">
        <v>4</v>
      </c>
      <c r="I619" s="20" t="n">
        <f aca="false">F619</f>
        <v>37248</v>
      </c>
      <c r="J619" s="22" t="n">
        <f aca="false">IFERROR(G619/F619,0)</f>
        <v>0.172999892611684</v>
      </c>
      <c r="K619" s="23" t="n">
        <f aca="false">MONTH(B619)</f>
        <v>5</v>
      </c>
    </row>
    <row r="620" customFormat="false" ht="15" hidden="false" customHeight="true" outlineLevel="0" collapsed="false">
      <c r="A620" s="18" t="s">
        <v>672</v>
      </c>
      <c r="B620" s="19" t="n">
        <v>45495</v>
      </c>
      <c r="C620" s="18" t="s">
        <v>41</v>
      </c>
      <c r="D620" s="18" t="s">
        <v>58</v>
      </c>
      <c r="E620" s="18" t="s">
        <v>50</v>
      </c>
      <c r="F620" s="20" t="n">
        <v>616</v>
      </c>
      <c r="G620" s="20" t="n">
        <v>192.81</v>
      </c>
      <c r="H620" s="18" t="n">
        <v>7</v>
      </c>
      <c r="I620" s="20" t="n">
        <f aca="false">F620</f>
        <v>616</v>
      </c>
      <c r="J620" s="22" t="n">
        <f aca="false">IFERROR(G620/F620,0)</f>
        <v>0.313003246753247</v>
      </c>
      <c r="K620" s="23" t="n">
        <f aca="false">MONTH(B620)</f>
        <v>7</v>
      </c>
    </row>
    <row r="621" customFormat="false" ht="15" hidden="false" customHeight="true" outlineLevel="0" collapsed="false">
      <c r="A621" s="18" t="s">
        <v>673</v>
      </c>
      <c r="B621" s="19" t="n">
        <v>45572</v>
      </c>
      <c r="C621" s="18" t="s">
        <v>27</v>
      </c>
      <c r="D621" s="18" t="s">
        <v>20</v>
      </c>
      <c r="E621" s="18" t="s">
        <v>21</v>
      </c>
      <c r="F621" s="20" t="n">
        <v>67328</v>
      </c>
      <c r="G621" s="20" t="n">
        <v>10099.2</v>
      </c>
      <c r="H621" s="18" t="n">
        <v>8</v>
      </c>
      <c r="I621" s="20" t="n">
        <f aca="false">F621</f>
        <v>67328</v>
      </c>
      <c r="J621" s="22" t="n">
        <f aca="false">IFERROR(G621/F621,0)</f>
        <v>0.15</v>
      </c>
      <c r="K621" s="23" t="n">
        <f aca="false">MONTH(B621)</f>
        <v>10</v>
      </c>
    </row>
    <row r="622" customFormat="false" ht="15" hidden="false" customHeight="true" outlineLevel="0" collapsed="false">
      <c r="A622" s="18" t="s">
        <v>674</v>
      </c>
      <c r="B622" s="19" t="n">
        <v>45535</v>
      </c>
      <c r="C622" s="18" t="s">
        <v>41</v>
      </c>
      <c r="D622" s="18" t="s">
        <v>75</v>
      </c>
      <c r="E622" s="18" t="s">
        <v>29</v>
      </c>
      <c r="F622" s="20" t="n">
        <v>1501</v>
      </c>
      <c r="G622" s="20" t="n">
        <v>162.11</v>
      </c>
      <c r="H622" s="18" t="n">
        <v>1</v>
      </c>
      <c r="I622" s="20" t="n">
        <f aca="false">F622</f>
        <v>1501</v>
      </c>
      <c r="J622" s="22" t="n">
        <f aca="false">IFERROR(G622/F622,0)</f>
        <v>0.108001332445037</v>
      </c>
      <c r="K622" s="23" t="n">
        <f aca="false">MONTH(B622)</f>
        <v>8</v>
      </c>
    </row>
    <row r="623" customFormat="false" ht="15" hidden="false" customHeight="true" outlineLevel="0" collapsed="false">
      <c r="A623" s="18" t="s">
        <v>675</v>
      </c>
      <c r="B623" s="19" t="n">
        <v>45302</v>
      </c>
      <c r="C623" s="18" t="s">
        <v>23</v>
      </c>
      <c r="D623" s="18" t="s">
        <v>93</v>
      </c>
      <c r="E623" s="18" t="s">
        <v>32</v>
      </c>
      <c r="F623" s="20" t="n">
        <v>14272</v>
      </c>
      <c r="G623" s="20" t="n">
        <v>1812.54</v>
      </c>
      <c r="H623" s="18" t="n">
        <v>4</v>
      </c>
      <c r="I623" s="20" t="n">
        <f aca="false">F623</f>
        <v>14272</v>
      </c>
      <c r="J623" s="22" t="n">
        <f aca="false">IFERROR(G623/F623,0)</f>
        <v>0.126999719730942</v>
      </c>
      <c r="K623" s="23" t="n">
        <f aca="false">MONTH(B623)</f>
        <v>1</v>
      </c>
    </row>
    <row r="624" customFormat="false" ht="15" hidden="false" customHeight="true" outlineLevel="0" collapsed="false">
      <c r="A624" s="18" t="s">
        <v>676</v>
      </c>
      <c r="B624" s="19" t="n">
        <v>45305</v>
      </c>
      <c r="C624" s="18" t="s">
        <v>27</v>
      </c>
      <c r="D624" s="18" t="s">
        <v>64</v>
      </c>
      <c r="E624" s="18" t="s">
        <v>32</v>
      </c>
      <c r="F624" s="20" t="n">
        <v>300293</v>
      </c>
      <c r="G624" s="20" t="n">
        <v>35134.28</v>
      </c>
      <c r="H624" s="18" t="n">
        <v>7</v>
      </c>
      <c r="I624" s="20" t="n">
        <f aca="false">F624</f>
        <v>300293</v>
      </c>
      <c r="J624" s="22" t="n">
        <f aca="false">IFERROR(G624/F624,0)</f>
        <v>0.116999996669919</v>
      </c>
      <c r="K624" s="23" t="n">
        <f aca="false">MONTH(B624)</f>
        <v>1</v>
      </c>
    </row>
    <row r="625" customFormat="false" ht="15" hidden="false" customHeight="true" outlineLevel="0" collapsed="false">
      <c r="A625" s="18" t="s">
        <v>677</v>
      </c>
      <c r="B625" s="19" t="n">
        <v>45311</v>
      </c>
      <c r="C625" s="18" t="s">
        <v>27</v>
      </c>
      <c r="D625" s="18" t="s">
        <v>70</v>
      </c>
      <c r="E625" s="18" t="s">
        <v>21</v>
      </c>
      <c r="F625" s="20" t="n">
        <v>46460</v>
      </c>
      <c r="G625" s="20" t="n">
        <v>10081.82</v>
      </c>
      <c r="H625" s="18" t="n">
        <v>4</v>
      </c>
      <c r="I625" s="20" t="n">
        <f aca="false">F625</f>
        <v>46460</v>
      </c>
      <c r="J625" s="22" t="n">
        <f aca="false">IFERROR(G625/F625,0)</f>
        <v>0.217</v>
      </c>
      <c r="K625" s="23" t="n">
        <f aca="false">MONTH(B625)</f>
        <v>1</v>
      </c>
    </row>
    <row r="626" customFormat="false" ht="15" hidden="false" customHeight="true" outlineLevel="0" collapsed="false">
      <c r="A626" s="18" t="s">
        <v>678</v>
      </c>
      <c r="B626" s="19" t="n">
        <v>45608</v>
      </c>
      <c r="C626" s="18" t="s">
        <v>41</v>
      </c>
      <c r="D626" s="18" t="s">
        <v>42</v>
      </c>
      <c r="E626" s="18" t="s">
        <v>21</v>
      </c>
      <c r="F626" s="20" t="n">
        <v>38635</v>
      </c>
      <c r="G626" s="20" t="n">
        <v>8383.8</v>
      </c>
      <c r="H626" s="18" t="n">
        <v>5</v>
      </c>
      <c r="I626" s="20" t="n">
        <f aca="false">F626</f>
        <v>38635</v>
      </c>
      <c r="J626" s="22" t="n">
        <f aca="false">IFERROR(G626/F626,0)</f>
        <v>0.217000129416332</v>
      </c>
      <c r="K626" s="23" t="n">
        <f aca="false">MONTH(B626)</f>
        <v>11</v>
      </c>
    </row>
    <row r="627" customFormat="false" ht="15" hidden="false" customHeight="true" outlineLevel="0" collapsed="false">
      <c r="A627" s="18" t="s">
        <v>679</v>
      </c>
      <c r="B627" s="19" t="n">
        <v>45502</v>
      </c>
      <c r="C627" s="18" t="s">
        <v>39</v>
      </c>
      <c r="D627" s="18" t="s">
        <v>83</v>
      </c>
      <c r="E627" s="18" t="s">
        <v>21</v>
      </c>
      <c r="F627" s="20" t="n">
        <v>12813</v>
      </c>
      <c r="G627" s="20" t="n">
        <v>2178.21</v>
      </c>
      <c r="H627" s="18" t="n">
        <v>3</v>
      </c>
      <c r="I627" s="20" t="n">
        <f aca="false">F627</f>
        <v>12813</v>
      </c>
      <c r="J627" s="22" t="n">
        <f aca="false">IFERROR(G627/F627,0)</f>
        <v>0.17</v>
      </c>
      <c r="K627" s="23" t="n">
        <f aca="false">MONTH(B627)</f>
        <v>7</v>
      </c>
    </row>
    <row r="628" customFormat="false" ht="15" hidden="false" customHeight="true" outlineLevel="0" collapsed="false">
      <c r="A628" s="18" t="s">
        <v>680</v>
      </c>
      <c r="B628" s="19" t="n">
        <v>45365</v>
      </c>
      <c r="C628" s="18" t="s">
        <v>39</v>
      </c>
      <c r="D628" s="18" t="s">
        <v>62</v>
      </c>
      <c r="E628" s="18" t="s">
        <v>50</v>
      </c>
      <c r="F628" s="20" t="n">
        <v>785</v>
      </c>
      <c r="G628" s="20" t="n">
        <v>197.03</v>
      </c>
      <c r="H628" s="18" t="n">
        <v>5</v>
      </c>
      <c r="I628" s="20" t="n">
        <f aca="false">F628</f>
        <v>785</v>
      </c>
      <c r="J628" s="22" t="n">
        <f aca="false">IFERROR(G628/F628,0)</f>
        <v>0.250993630573248</v>
      </c>
      <c r="K628" s="23" t="n">
        <f aca="false">MONTH(B628)</f>
        <v>3</v>
      </c>
    </row>
    <row r="629" customFormat="false" ht="15" hidden="false" customHeight="true" outlineLevel="0" collapsed="false">
      <c r="A629" s="18" t="s">
        <v>681</v>
      </c>
      <c r="B629" s="19" t="n">
        <v>45560</v>
      </c>
      <c r="C629" s="18" t="s">
        <v>23</v>
      </c>
      <c r="D629" s="18" t="s">
        <v>31</v>
      </c>
      <c r="E629" s="18" t="s">
        <v>32</v>
      </c>
      <c r="F629" s="20" t="n">
        <v>142896</v>
      </c>
      <c r="G629" s="20" t="n">
        <v>24006.53</v>
      </c>
      <c r="H629" s="18" t="n">
        <v>3</v>
      </c>
      <c r="I629" s="20" t="n">
        <f aca="false">F629</f>
        <v>142896</v>
      </c>
      <c r="J629" s="22" t="n">
        <f aca="false">IFERROR(G629/F629,0)</f>
        <v>0.168000013996193</v>
      </c>
      <c r="K629" s="23" t="n">
        <f aca="false">MONTH(B629)</f>
        <v>9</v>
      </c>
    </row>
    <row r="630" customFormat="false" ht="15" hidden="false" customHeight="true" outlineLevel="0" collapsed="false">
      <c r="A630" s="18" t="s">
        <v>682</v>
      </c>
      <c r="B630" s="19" t="n">
        <v>45496</v>
      </c>
      <c r="C630" s="18" t="s">
        <v>19</v>
      </c>
      <c r="D630" s="18" t="s">
        <v>55</v>
      </c>
      <c r="E630" s="18" t="s">
        <v>32</v>
      </c>
      <c r="F630" s="20" t="n">
        <v>213273</v>
      </c>
      <c r="G630" s="20" t="n">
        <v>27298.94</v>
      </c>
      <c r="H630" s="18" t="n">
        <v>9</v>
      </c>
      <c r="I630" s="20" t="n">
        <f aca="false">F630</f>
        <v>213273</v>
      </c>
      <c r="J630" s="22" t="n">
        <f aca="false">IFERROR(G630/F630,0)</f>
        <v>0.127999981244696</v>
      </c>
      <c r="K630" s="23" t="n">
        <f aca="false">MONTH(B630)</f>
        <v>7</v>
      </c>
    </row>
    <row r="631" customFormat="false" ht="15" hidden="false" customHeight="true" outlineLevel="0" collapsed="false">
      <c r="A631" s="18" t="s">
        <v>683</v>
      </c>
      <c r="B631" s="19" t="n">
        <v>45480</v>
      </c>
      <c r="C631" s="18" t="s">
        <v>27</v>
      </c>
      <c r="D631" s="18" t="s">
        <v>96</v>
      </c>
      <c r="E631" s="18" t="s">
        <v>50</v>
      </c>
      <c r="F631" s="20" t="n">
        <v>594</v>
      </c>
      <c r="G631" s="20" t="n">
        <v>118.8</v>
      </c>
      <c r="H631" s="18" t="n">
        <v>6</v>
      </c>
      <c r="I631" s="20" t="n">
        <f aca="false">F631</f>
        <v>594</v>
      </c>
      <c r="J631" s="22" t="n">
        <f aca="false">IFERROR(G631/F631,0)</f>
        <v>0.2</v>
      </c>
      <c r="K631" s="23" t="n">
        <f aca="false">MONTH(B631)</f>
        <v>7</v>
      </c>
    </row>
    <row r="632" customFormat="false" ht="15" hidden="false" customHeight="true" outlineLevel="0" collapsed="false">
      <c r="A632" s="18" t="s">
        <v>684</v>
      </c>
      <c r="B632" s="19" t="n">
        <v>45538</v>
      </c>
      <c r="C632" s="18" t="s">
        <v>23</v>
      </c>
      <c r="D632" s="18" t="s">
        <v>31</v>
      </c>
      <c r="E632" s="18" t="s">
        <v>32</v>
      </c>
      <c r="F632" s="20" t="n">
        <v>396963</v>
      </c>
      <c r="G632" s="20" t="n">
        <v>49223.41</v>
      </c>
      <c r="H632" s="18" t="n">
        <v>9</v>
      </c>
      <c r="I632" s="20" t="n">
        <f aca="false">F632</f>
        <v>396963</v>
      </c>
      <c r="J632" s="22" t="n">
        <f aca="false">IFERROR(G632/F632,0)</f>
        <v>0.123999994961747</v>
      </c>
      <c r="K632" s="23" t="n">
        <f aca="false">MONTH(B632)</f>
        <v>9</v>
      </c>
    </row>
    <row r="633" customFormat="false" ht="15" hidden="false" customHeight="true" outlineLevel="0" collapsed="false">
      <c r="A633" s="18" t="s">
        <v>685</v>
      </c>
      <c r="B633" s="19" t="n">
        <v>45487</v>
      </c>
      <c r="C633" s="18" t="s">
        <v>23</v>
      </c>
      <c r="D633" s="18" t="s">
        <v>86</v>
      </c>
      <c r="E633" s="18" t="s">
        <v>21</v>
      </c>
      <c r="F633" s="20" t="n">
        <v>129801</v>
      </c>
      <c r="G633" s="20" t="n">
        <v>30243.63</v>
      </c>
      <c r="H633" s="18" t="n">
        <v>7</v>
      </c>
      <c r="I633" s="20" t="n">
        <f aca="false">F633</f>
        <v>129801</v>
      </c>
      <c r="J633" s="22" t="n">
        <f aca="false">IFERROR(G633/F633,0)</f>
        <v>0.232999976887697</v>
      </c>
      <c r="K633" s="23" t="n">
        <f aca="false">MONTH(B633)</f>
        <v>7</v>
      </c>
    </row>
    <row r="634" customFormat="false" ht="15" hidden="false" customHeight="true" outlineLevel="0" collapsed="false">
      <c r="A634" s="18" t="s">
        <v>686</v>
      </c>
      <c r="B634" s="19" t="n">
        <v>45637</v>
      </c>
      <c r="C634" s="18" t="s">
        <v>23</v>
      </c>
      <c r="D634" s="18" t="s">
        <v>42</v>
      </c>
      <c r="E634" s="18" t="s">
        <v>21</v>
      </c>
      <c r="F634" s="20" t="n">
        <v>93339</v>
      </c>
      <c r="G634" s="20" t="n">
        <v>14094.19</v>
      </c>
      <c r="H634" s="18" t="n">
        <v>9</v>
      </c>
      <c r="I634" s="20" t="n">
        <f aca="false">F634</f>
        <v>93339</v>
      </c>
      <c r="J634" s="22" t="n">
        <f aca="false">IFERROR(G634/F634,0)</f>
        <v>0.151000010713635</v>
      </c>
      <c r="K634" s="23" t="n">
        <f aca="false">MONTH(B634)</f>
        <v>12</v>
      </c>
    </row>
    <row r="635" customFormat="false" ht="15" hidden="false" customHeight="true" outlineLevel="0" collapsed="false">
      <c r="A635" s="18" t="s">
        <v>687</v>
      </c>
      <c r="B635" s="19" t="n">
        <v>45374</v>
      </c>
      <c r="C635" s="18" t="s">
        <v>27</v>
      </c>
      <c r="D635" s="18" t="s">
        <v>31</v>
      </c>
      <c r="E635" s="18" t="s">
        <v>32</v>
      </c>
      <c r="F635" s="20" t="n">
        <v>151308</v>
      </c>
      <c r="G635" s="20" t="n">
        <v>14071.64</v>
      </c>
      <c r="H635" s="18" t="n">
        <v>4</v>
      </c>
      <c r="I635" s="20" t="n">
        <f aca="false">F635</f>
        <v>151308</v>
      </c>
      <c r="J635" s="22" t="n">
        <f aca="false">IFERROR(G635/F635,0)</f>
        <v>0.0929999735638565</v>
      </c>
      <c r="K635" s="23" t="n">
        <f aca="false">MONTH(B635)</f>
        <v>3</v>
      </c>
    </row>
    <row r="636" customFormat="false" ht="15" hidden="false" customHeight="true" outlineLevel="0" collapsed="false">
      <c r="A636" s="18" t="s">
        <v>688</v>
      </c>
      <c r="B636" s="19" t="n">
        <v>45450</v>
      </c>
      <c r="C636" s="18" t="s">
        <v>19</v>
      </c>
      <c r="D636" s="18" t="s">
        <v>58</v>
      </c>
      <c r="E636" s="18" t="s">
        <v>50</v>
      </c>
      <c r="F636" s="20" t="n">
        <v>53</v>
      </c>
      <c r="G636" s="20" t="n">
        <v>19.82</v>
      </c>
      <c r="H636" s="18" t="n">
        <v>1</v>
      </c>
      <c r="I636" s="20" t="n">
        <f aca="false">F636</f>
        <v>53</v>
      </c>
      <c r="J636" s="22" t="n">
        <f aca="false">IFERROR(G636/F636,0)</f>
        <v>0.373962264150943</v>
      </c>
      <c r="K636" s="23" t="n">
        <f aca="false">MONTH(B636)</f>
        <v>6</v>
      </c>
    </row>
    <row r="637" customFormat="false" ht="15" hidden="false" customHeight="true" outlineLevel="0" collapsed="false">
      <c r="A637" s="18" t="s">
        <v>689</v>
      </c>
      <c r="B637" s="19" t="n">
        <v>45582</v>
      </c>
      <c r="C637" s="18" t="s">
        <v>41</v>
      </c>
      <c r="D637" s="18" t="s">
        <v>44</v>
      </c>
      <c r="E637" s="18" t="s">
        <v>32</v>
      </c>
      <c r="F637" s="20" t="n">
        <v>35060</v>
      </c>
      <c r="G637" s="20" t="n">
        <v>6030.32</v>
      </c>
      <c r="H637" s="18" t="n">
        <v>10</v>
      </c>
      <c r="I637" s="20" t="n">
        <f aca="false">F637</f>
        <v>35060</v>
      </c>
      <c r="J637" s="22" t="n">
        <f aca="false">IFERROR(G637/F637,0)</f>
        <v>0.172</v>
      </c>
      <c r="K637" s="23" t="n">
        <f aca="false">MONTH(B637)</f>
        <v>10</v>
      </c>
    </row>
    <row r="638" customFormat="false" ht="15" hidden="false" customHeight="true" outlineLevel="0" collapsed="false">
      <c r="A638" s="18" t="s">
        <v>690</v>
      </c>
      <c r="B638" s="19" t="n">
        <v>45630</v>
      </c>
      <c r="C638" s="18" t="s">
        <v>23</v>
      </c>
      <c r="D638" s="18" t="s">
        <v>42</v>
      </c>
      <c r="E638" s="18" t="s">
        <v>21</v>
      </c>
      <c r="F638" s="20" t="n">
        <v>62461</v>
      </c>
      <c r="G638" s="20" t="n">
        <v>9743.92</v>
      </c>
      <c r="H638" s="18" t="n">
        <v>7</v>
      </c>
      <c r="I638" s="20" t="n">
        <f aca="false">F638</f>
        <v>62461</v>
      </c>
      <c r="J638" s="22" t="n">
        <f aca="false">IFERROR(G638/F638,0)</f>
        <v>0.156000064039961</v>
      </c>
      <c r="K638" s="23" t="n">
        <f aca="false">MONTH(B638)</f>
        <v>12</v>
      </c>
    </row>
    <row r="639" customFormat="false" ht="15" hidden="false" customHeight="true" outlineLevel="0" collapsed="false">
      <c r="A639" s="18" t="s">
        <v>691</v>
      </c>
      <c r="B639" s="19" t="n">
        <v>45634</v>
      </c>
      <c r="C639" s="18" t="s">
        <v>19</v>
      </c>
      <c r="D639" s="18" t="s">
        <v>28</v>
      </c>
      <c r="E639" s="18" t="s">
        <v>29</v>
      </c>
      <c r="F639" s="20" t="n">
        <v>25020</v>
      </c>
      <c r="G639" s="20" t="n">
        <v>3577.86</v>
      </c>
      <c r="H639" s="18" t="n">
        <v>9</v>
      </c>
      <c r="I639" s="20" t="n">
        <f aca="false">F639</f>
        <v>25020</v>
      </c>
      <c r="J639" s="22" t="n">
        <f aca="false">IFERROR(G639/F639,0)</f>
        <v>0.143</v>
      </c>
      <c r="K639" s="23" t="n">
        <f aca="false">MONTH(B639)</f>
        <v>12</v>
      </c>
    </row>
    <row r="640" customFormat="false" ht="15" hidden="false" customHeight="true" outlineLevel="0" collapsed="false">
      <c r="A640" s="18" t="s">
        <v>692</v>
      </c>
      <c r="B640" s="19" t="n">
        <v>45641</v>
      </c>
      <c r="C640" s="18" t="s">
        <v>39</v>
      </c>
      <c r="D640" s="18" t="s">
        <v>96</v>
      </c>
      <c r="E640" s="18" t="s">
        <v>50</v>
      </c>
      <c r="F640" s="20" t="n">
        <v>220</v>
      </c>
      <c r="G640" s="20" t="n">
        <v>76.34</v>
      </c>
      <c r="H640" s="18" t="n">
        <v>4</v>
      </c>
      <c r="I640" s="20" t="n">
        <f aca="false">F640</f>
        <v>220</v>
      </c>
      <c r="J640" s="22" t="n">
        <f aca="false">IFERROR(G640/F640,0)</f>
        <v>0.347</v>
      </c>
      <c r="K640" s="23" t="n">
        <f aca="false">MONTH(B640)</f>
        <v>12</v>
      </c>
    </row>
    <row r="641" customFormat="false" ht="15" hidden="false" customHeight="true" outlineLevel="0" collapsed="false">
      <c r="A641" s="18" t="s">
        <v>693</v>
      </c>
      <c r="B641" s="19" t="n">
        <v>45507</v>
      </c>
      <c r="C641" s="18" t="s">
        <v>23</v>
      </c>
      <c r="D641" s="18" t="s">
        <v>52</v>
      </c>
      <c r="E641" s="18" t="s">
        <v>32</v>
      </c>
      <c r="F641" s="20" t="n">
        <v>9402</v>
      </c>
      <c r="G641" s="20" t="n">
        <v>1175.25</v>
      </c>
      <c r="H641" s="18" t="n">
        <v>2</v>
      </c>
      <c r="I641" s="20" t="n">
        <f aca="false">F641</f>
        <v>9402</v>
      </c>
      <c r="J641" s="22" t="n">
        <f aca="false">IFERROR(G641/F641,0)</f>
        <v>0.125</v>
      </c>
      <c r="K641" s="23" t="n">
        <f aca="false">MONTH(B641)</f>
        <v>8</v>
      </c>
    </row>
    <row r="642" customFormat="false" ht="15" hidden="false" customHeight="true" outlineLevel="0" collapsed="false">
      <c r="A642" s="18" t="s">
        <v>694</v>
      </c>
      <c r="B642" s="19" t="n">
        <v>45537</v>
      </c>
      <c r="C642" s="18" t="s">
        <v>39</v>
      </c>
      <c r="D642" s="18" t="s">
        <v>20</v>
      </c>
      <c r="E642" s="18" t="s">
        <v>21</v>
      </c>
      <c r="F642" s="20" t="n">
        <v>66978</v>
      </c>
      <c r="G642" s="20" t="n">
        <v>16141.7</v>
      </c>
      <c r="H642" s="18" t="n">
        <v>9</v>
      </c>
      <c r="I642" s="20" t="n">
        <f aca="false">F642</f>
        <v>66978</v>
      </c>
      <c r="J642" s="22" t="n">
        <f aca="false">IFERROR(G642/F642,0)</f>
        <v>0.241000029860551</v>
      </c>
      <c r="K642" s="23" t="n">
        <f aca="false">MONTH(B642)</f>
        <v>9</v>
      </c>
    </row>
    <row r="643" customFormat="false" ht="15" hidden="false" customHeight="true" outlineLevel="0" collapsed="false">
      <c r="A643" s="18" t="s">
        <v>695</v>
      </c>
      <c r="B643" s="19" t="n">
        <v>45343</v>
      </c>
      <c r="C643" s="18" t="s">
        <v>23</v>
      </c>
      <c r="D643" s="18" t="s">
        <v>83</v>
      </c>
      <c r="E643" s="18" t="s">
        <v>21</v>
      </c>
      <c r="F643" s="20" t="n">
        <v>47470</v>
      </c>
      <c r="G643" s="20" t="n">
        <v>8259.78</v>
      </c>
      <c r="H643" s="18" t="n">
        <v>10</v>
      </c>
      <c r="I643" s="20" t="n">
        <f aca="false">F643</f>
        <v>47470</v>
      </c>
      <c r="J643" s="22" t="n">
        <f aca="false">IFERROR(G643/F643,0)</f>
        <v>0.174</v>
      </c>
      <c r="K643" s="23" t="n">
        <f aca="false">MONTH(B643)</f>
        <v>2</v>
      </c>
    </row>
    <row r="644" customFormat="false" ht="15" hidden="false" customHeight="true" outlineLevel="0" collapsed="false">
      <c r="A644" s="18" t="s">
        <v>696</v>
      </c>
      <c r="B644" s="19" t="n">
        <v>45495</v>
      </c>
      <c r="C644" s="18" t="s">
        <v>19</v>
      </c>
      <c r="D644" s="18" t="s">
        <v>28</v>
      </c>
      <c r="E644" s="18" t="s">
        <v>29</v>
      </c>
      <c r="F644" s="20" t="n">
        <v>3956</v>
      </c>
      <c r="G644" s="20" t="n">
        <v>731.86</v>
      </c>
      <c r="H644" s="18" t="n">
        <v>1</v>
      </c>
      <c r="I644" s="20" t="n">
        <f aca="false">F644</f>
        <v>3956</v>
      </c>
      <c r="J644" s="22" t="n">
        <f aca="false">IFERROR(G644/F644,0)</f>
        <v>0.185</v>
      </c>
      <c r="K644" s="23" t="n">
        <f aca="false">MONTH(B644)</f>
        <v>7</v>
      </c>
    </row>
    <row r="645" customFormat="false" ht="15" hidden="false" customHeight="true" outlineLevel="0" collapsed="false">
      <c r="A645" s="18" t="s">
        <v>697</v>
      </c>
      <c r="B645" s="19" t="n">
        <v>45459</v>
      </c>
      <c r="C645" s="18" t="s">
        <v>41</v>
      </c>
      <c r="D645" s="18" t="s">
        <v>31</v>
      </c>
      <c r="E645" s="18" t="s">
        <v>32</v>
      </c>
      <c r="F645" s="20" t="n">
        <v>671648</v>
      </c>
      <c r="G645" s="20" t="n">
        <v>82612.7</v>
      </c>
      <c r="H645" s="18" t="n">
        <v>8</v>
      </c>
      <c r="I645" s="20" t="n">
        <f aca="false">F645</f>
        <v>671648</v>
      </c>
      <c r="J645" s="22" t="n">
        <f aca="false">IFERROR(G645/F645,0)</f>
        <v>0.122999994044499</v>
      </c>
      <c r="K645" s="23" t="n">
        <f aca="false">MONTH(B645)</f>
        <v>6</v>
      </c>
    </row>
    <row r="646" customFormat="false" ht="15" hidden="false" customHeight="true" outlineLevel="0" collapsed="false">
      <c r="A646" s="18" t="s">
        <v>698</v>
      </c>
      <c r="B646" s="19" t="n">
        <v>45636</v>
      </c>
      <c r="C646" s="18" t="s">
        <v>23</v>
      </c>
      <c r="D646" s="18" t="s">
        <v>52</v>
      </c>
      <c r="E646" s="18" t="s">
        <v>32</v>
      </c>
      <c r="F646" s="20" t="n">
        <v>36368</v>
      </c>
      <c r="G646" s="20" t="n">
        <v>5309.73</v>
      </c>
      <c r="H646" s="18" t="n">
        <v>8</v>
      </c>
      <c r="I646" s="20" t="n">
        <f aca="false">F646</f>
        <v>36368</v>
      </c>
      <c r="J646" s="22" t="n">
        <f aca="false">IFERROR(G646/F646,0)</f>
        <v>0.146000054993401</v>
      </c>
      <c r="K646" s="23" t="n">
        <f aca="false">MONTH(B646)</f>
        <v>12</v>
      </c>
    </row>
    <row r="647" customFormat="false" ht="15" hidden="false" customHeight="true" outlineLevel="0" collapsed="false">
      <c r="A647" s="18" t="s">
        <v>699</v>
      </c>
      <c r="B647" s="19" t="n">
        <v>45546</v>
      </c>
      <c r="C647" s="18" t="s">
        <v>27</v>
      </c>
      <c r="D647" s="18" t="s">
        <v>52</v>
      </c>
      <c r="E647" s="18" t="s">
        <v>32</v>
      </c>
      <c r="F647" s="20" t="n">
        <v>56312</v>
      </c>
      <c r="G647" s="20" t="n">
        <v>9235.17</v>
      </c>
      <c r="H647" s="18" t="n">
        <v>8</v>
      </c>
      <c r="I647" s="20" t="n">
        <f aca="false">F647</f>
        <v>56312</v>
      </c>
      <c r="J647" s="22" t="n">
        <f aca="false">IFERROR(G647/F647,0)</f>
        <v>0.164000035516409</v>
      </c>
      <c r="K647" s="23" t="n">
        <f aca="false">MONTH(B647)</f>
        <v>9</v>
      </c>
    </row>
    <row r="648" customFormat="false" ht="15" hidden="false" customHeight="true" outlineLevel="0" collapsed="false">
      <c r="A648" s="18" t="s">
        <v>700</v>
      </c>
      <c r="B648" s="19" t="n">
        <v>45492</v>
      </c>
      <c r="C648" s="18" t="s">
        <v>23</v>
      </c>
      <c r="D648" s="18" t="s">
        <v>75</v>
      </c>
      <c r="E648" s="18" t="s">
        <v>29</v>
      </c>
      <c r="F648" s="20" t="n">
        <v>4140</v>
      </c>
      <c r="G648" s="20" t="n">
        <v>703.8</v>
      </c>
      <c r="H648" s="18" t="n">
        <v>2</v>
      </c>
      <c r="I648" s="20" t="n">
        <f aca="false">F648</f>
        <v>4140</v>
      </c>
      <c r="J648" s="22" t="n">
        <f aca="false">IFERROR(G648/F648,0)</f>
        <v>0.17</v>
      </c>
      <c r="K648" s="23" t="n">
        <f aca="false">MONTH(B648)</f>
        <v>7</v>
      </c>
    </row>
    <row r="649" customFormat="false" ht="15" hidden="false" customHeight="true" outlineLevel="0" collapsed="false">
      <c r="A649" s="18" t="s">
        <v>701</v>
      </c>
      <c r="B649" s="19" t="n">
        <v>45313</v>
      </c>
      <c r="C649" s="18" t="s">
        <v>41</v>
      </c>
      <c r="D649" s="18" t="s">
        <v>46</v>
      </c>
      <c r="E649" s="18" t="s">
        <v>29</v>
      </c>
      <c r="F649" s="20" t="n">
        <v>99560</v>
      </c>
      <c r="G649" s="20" t="n">
        <v>15332.24</v>
      </c>
      <c r="H649" s="18" t="n">
        <v>10</v>
      </c>
      <c r="I649" s="20" t="n">
        <f aca="false">F649</f>
        <v>99560</v>
      </c>
      <c r="J649" s="22" t="n">
        <f aca="false">IFERROR(G649/F649,0)</f>
        <v>0.154</v>
      </c>
      <c r="K649" s="23" t="n">
        <f aca="false">MONTH(B649)</f>
        <v>1</v>
      </c>
    </row>
    <row r="650" customFormat="false" ht="15" hidden="false" customHeight="true" outlineLevel="0" collapsed="false">
      <c r="A650" s="18" t="s">
        <v>702</v>
      </c>
      <c r="B650" s="19" t="n">
        <v>45296</v>
      </c>
      <c r="C650" s="18" t="s">
        <v>27</v>
      </c>
      <c r="D650" s="18" t="s">
        <v>86</v>
      </c>
      <c r="E650" s="18" t="s">
        <v>21</v>
      </c>
      <c r="F650" s="20" t="n">
        <v>228177</v>
      </c>
      <c r="G650" s="20" t="n">
        <v>29663.01</v>
      </c>
      <c r="H650" s="18" t="n">
        <v>9</v>
      </c>
      <c r="I650" s="20" t="n">
        <f aca="false">F650</f>
        <v>228177</v>
      </c>
      <c r="J650" s="22" t="n">
        <f aca="false">IFERROR(G650/F650,0)</f>
        <v>0.13</v>
      </c>
      <c r="K650" s="23" t="n">
        <f aca="false">MONTH(B650)</f>
        <v>1</v>
      </c>
    </row>
    <row r="651" customFormat="false" ht="15" hidden="false" customHeight="true" outlineLevel="0" collapsed="false">
      <c r="A651" s="18" t="s">
        <v>703</v>
      </c>
      <c r="B651" s="19" t="n">
        <v>45434</v>
      </c>
      <c r="C651" s="18" t="s">
        <v>23</v>
      </c>
      <c r="D651" s="18" t="s">
        <v>86</v>
      </c>
      <c r="E651" s="18" t="s">
        <v>21</v>
      </c>
      <c r="F651" s="20" t="n">
        <v>138016</v>
      </c>
      <c r="G651" s="20" t="n">
        <v>30363.52</v>
      </c>
      <c r="H651" s="18" t="n">
        <v>4</v>
      </c>
      <c r="I651" s="20" t="n">
        <f aca="false">F651</f>
        <v>138016</v>
      </c>
      <c r="J651" s="22" t="n">
        <f aca="false">IFERROR(G651/F651,0)</f>
        <v>0.22</v>
      </c>
      <c r="K651" s="23" t="n">
        <f aca="false">MONTH(B651)</f>
        <v>5</v>
      </c>
    </row>
    <row r="652" customFormat="false" ht="15" hidden="false" customHeight="true" outlineLevel="0" collapsed="false">
      <c r="A652" s="18" t="s">
        <v>704</v>
      </c>
      <c r="B652" s="19" t="n">
        <v>45328</v>
      </c>
      <c r="C652" s="18" t="s">
        <v>27</v>
      </c>
      <c r="D652" s="18" t="s">
        <v>20</v>
      </c>
      <c r="E652" s="18" t="s">
        <v>21</v>
      </c>
      <c r="F652" s="20" t="n">
        <v>44667</v>
      </c>
      <c r="G652" s="20" t="n">
        <v>10407.41</v>
      </c>
      <c r="H652" s="18" t="n">
        <v>9</v>
      </c>
      <c r="I652" s="20" t="n">
        <f aca="false">F652</f>
        <v>44667</v>
      </c>
      <c r="J652" s="22" t="n">
        <f aca="false">IFERROR(G652/F652,0)</f>
        <v>0.232999977612107</v>
      </c>
      <c r="K652" s="23" t="n">
        <f aca="false">MONTH(B652)</f>
        <v>2</v>
      </c>
    </row>
    <row r="653" customFormat="false" ht="15" hidden="false" customHeight="true" outlineLevel="0" collapsed="false">
      <c r="A653" s="18" t="s">
        <v>705</v>
      </c>
      <c r="B653" s="19" t="n">
        <v>45485</v>
      </c>
      <c r="C653" s="18" t="s">
        <v>41</v>
      </c>
      <c r="D653" s="18" t="s">
        <v>72</v>
      </c>
      <c r="E653" s="18" t="s">
        <v>29</v>
      </c>
      <c r="F653" s="20" t="n">
        <v>54625</v>
      </c>
      <c r="G653" s="20" t="n">
        <v>8630.75</v>
      </c>
      <c r="H653" s="18" t="n">
        <v>5</v>
      </c>
      <c r="I653" s="20" t="n">
        <f aca="false">F653</f>
        <v>54625</v>
      </c>
      <c r="J653" s="22" t="n">
        <f aca="false">IFERROR(G653/F653,0)</f>
        <v>0.158</v>
      </c>
      <c r="K653" s="23" t="n">
        <f aca="false">MONTH(B653)</f>
        <v>7</v>
      </c>
    </row>
    <row r="654" customFormat="false" ht="15" hidden="false" customHeight="true" outlineLevel="0" collapsed="false">
      <c r="A654" s="18" t="s">
        <v>706</v>
      </c>
      <c r="B654" s="19" t="n">
        <v>45326</v>
      </c>
      <c r="C654" s="18" t="s">
        <v>41</v>
      </c>
      <c r="D654" s="18" t="s">
        <v>55</v>
      </c>
      <c r="E654" s="18" t="s">
        <v>32</v>
      </c>
      <c r="F654" s="20" t="n">
        <v>80606</v>
      </c>
      <c r="G654" s="20" t="n">
        <v>7254.54</v>
      </c>
      <c r="H654" s="18" t="n">
        <v>2</v>
      </c>
      <c r="I654" s="20" t="n">
        <f aca="false">F654</f>
        <v>80606</v>
      </c>
      <c r="J654" s="22" t="n">
        <f aca="false">IFERROR(G654/F654,0)</f>
        <v>0.09</v>
      </c>
      <c r="K654" s="23" t="n">
        <f aca="false">MONTH(B654)</f>
        <v>2</v>
      </c>
    </row>
    <row r="655" customFormat="false" ht="15" hidden="false" customHeight="true" outlineLevel="0" collapsed="false">
      <c r="A655" s="18" t="s">
        <v>707</v>
      </c>
      <c r="B655" s="19" t="n">
        <v>45643</v>
      </c>
      <c r="C655" s="18" t="s">
        <v>23</v>
      </c>
      <c r="D655" s="18" t="s">
        <v>75</v>
      </c>
      <c r="E655" s="18" t="s">
        <v>29</v>
      </c>
      <c r="F655" s="20" t="n">
        <v>18144</v>
      </c>
      <c r="G655" s="20" t="n">
        <v>2739.74</v>
      </c>
      <c r="H655" s="18" t="n">
        <v>8</v>
      </c>
      <c r="I655" s="20" t="n">
        <f aca="false">F655</f>
        <v>18144</v>
      </c>
      <c r="J655" s="22" t="n">
        <f aca="false">IFERROR(G655/F655,0)</f>
        <v>0.150999779541446</v>
      </c>
      <c r="K655" s="23" t="n">
        <f aca="false">MONTH(B655)</f>
        <v>12</v>
      </c>
    </row>
    <row r="656" customFormat="false" ht="15" hidden="false" customHeight="true" outlineLevel="0" collapsed="false">
      <c r="A656" s="18" t="s">
        <v>708</v>
      </c>
      <c r="B656" s="19" t="n">
        <v>45533</v>
      </c>
      <c r="C656" s="18" t="s">
        <v>39</v>
      </c>
      <c r="D656" s="18" t="s">
        <v>36</v>
      </c>
      <c r="E656" s="18" t="s">
        <v>25</v>
      </c>
      <c r="F656" s="20" t="n">
        <v>41392</v>
      </c>
      <c r="G656" s="20" t="n">
        <v>11300.02</v>
      </c>
      <c r="H656" s="18" t="n">
        <v>8</v>
      </c>
      <c r="I656" s="20" t="n">
        <f aca="false">F656</f>
        <v>41392</v>
      </c>
      <c r="J656" s="22" t="n">
        <f aca="false">IFERROR(G656/F656,0)</f>
        <v>0.273000096637031</v>
      </c>
      <c r="K656" s="23" t="n">
        <f aca="false">MONTH(B656)</f>
        <v>8</v>
      </c>
    </row>
    <row r="657" customFormat="false" ht="15" hidden="false" customHeight="true" outlineLevel="0" collapsed="false">
      <c r="A657" s="18" t="s">
        <v>709</v>
      </c>
      <c r="B657" s="19" t="n">
        <v>45522</v>
      </c>
      <c r="C657" s="18" t="s">
        <v>19</v>
      </c>
      <c r="D657" s="18" t="s">
        <v>55</v>
      </c>
      <c r="E657" s="18" t="s">
        <v>32</v>
      </c>
      <c r="F657" s="20" t="n">
        <v>220347</v>
      </c>
      <c r="G657" s="20" t="n">
        <v>18729.5</v>
      </c>
      <c r="H657" s="18" t="n">
        <v>9</v>
      </c>
      <c r="I657" s="20" t="n">
        <f aca="false">F657</f>
        <v>220347</v>
      </c>
      <c r="J657" s="22" t="n">
        <f aca="false">IFERROR(G657/F657,0)</f>
        <v>0.0850000226914821</v>
      </c>
      <c r="K657" s="23" t="n">
        <f aca="false">MONTH(B657)</f>
        <v>8</v>
      </c>
    </row>
    <row r="658" customFormat="false" ht="15" hidden="false" customHeight="true" outlineLevel="0" collapsed="false">
      <c r="A658" s="18" t="s">
        <v>710</v>
      </c>
      <c r="B658" s="19" t="n">
        <v>45611</v>
      </c>
      <c r="C658" s="18" t="s">
        <v>23</v>
      </c>
      <c r="D658" s="18" t="s">
        <v>83</v>
      </c>
      <c r="E658" s="18" t="s">
        <v>21</v>
      </c>
      <c r="F658" s="20" t="n">
        <v>24342</v>
      </c>
      <c r="G658" s="20" t="n">
        <v>5842.08</v>
      </c>
      <c r="H658" s="18" t="n">
        <v>3</v>
      </c>
      <c r="I658" s="20" t="n">
        <f aca="false">F658</f>
        <v>24342</v>
      </c>
      <c r="J658" s="22" t="n">
        <f aca="false">IFERROR(G658/F658,0)</f>
        <v>0.24</v>
      </c>
      <c r="K658" s="23" t="n">
        <f aca="false">MONTH(B658)</f>
        <v>11</v>
      </c>
    </row>
    <row r="659" customFormat="false" ht="15" hidden="false" customHeight="true" outlineLevel="0" collapsed="false">
      <c r="A659" s="18" t="s">
        <v>711</v>
      </c>
      <c r="B659" s="19" t="n">
        <v>45632</v>
      </c>
      <c r="C659" s="18" t="s">
        <v>41</v>
      </c>
      <c r="D659" s="18" t="s">
        <v>28</v>
      </c>
      <c r="E659" s="18" t="s">
        <v>29</v>
      </c>
      <c r="F659" s="20" t="n">
        <v>15324</v>
      </c>
      <c r="G659" s="20" t="n">
        <v>2988.18</v>
      </c>
      <c r="H659" s="18" t="n">
        <v>6</v>
      </c>
      <c r="I659" s="20" t="n">
        <f aca="false">F659</f>
        <v>15324</v>
      </c>
      <c r="J659" s="22" t="n">
        <f aca="false">IFERROR(G659/F659,0)</f>
        <v>0.195</v>
      </c>
      <c r="K659" s="23" t="n">
        <f aca="false">MONTH(B659)</f>
        <v>12</v>
      </c>
    </row>
    <row r="660" customFormat="false" ht="15" hidden="false" customHeight="true" outlineLevel="0" collapsed="false">
      <c r="A660" s="18" t="s">
        <v>712</v>
      </c>
      <c r="B660" s="19" t="n">
        <v>45331</v>
      </c>
      <c r="C660" s="18" t="s">
        <v>19</v>
      </c>
      <c r="D660" s="18" t="s">
        <v>83</v>
      </c>
      <c r="E660" s="18" t="s">
        <v>21</v>
      </c>
      <c r="F660" s="20" t="n">
        <v>42492</v>
      </c>
      <c r="G660" s="20" t="n">
        <v>8370.92</v>
      </c>
      <c r="H660" s="18" t="n">
        <v>4</v>
      </c>
      <c r="I660" s="20" t="n">
        <f aca="false">F660</f>
        <v>42492</v>
      </c>
      <c r="J660" s="22" t="n">
        <f aca="false">IFERROR(G660/F660,0)</f>
        <v>0.196999905864633</v>
      </c>
      <c r="K660" s="23" t="n">
        <f aca="false">MONTH(B660)</f>
        <v>2</v>
      </c>
    </row>
    <row r="661" customFormat="false" ht="15" hidden="false" customHeight="true" outlineLevel="0" collapsed="false">
      <c r="A661" s="18" t="s">
        <v>713</v>
      </c>
      <c r="B661" s="19" t="n">
        <v>45622</v>
      </c>
      <c r="C661" s="18" t="s">
        <v>27</v>
      </c>
      <c r="D661" s="18" t="s">
        <v>36</v>
      </c>
      <c r="E661" s="18" t="s">
        <v>25</v>
      </c>
      <c r="F661" s="20" t="n">
        <v>30156</v>
      </c>
      <c r="G661" s="20" t="n">
        <v>5156.68</v>
      </c>
      <c r="H661" s="18" t="n">
        <v>6</v>
      </c>
      <c r="I661" s="20" t="n">
        <f aca="false">F661</f>
        <v>30156</v>
      </c>
      <c r="J661" s="22" t="n">
        <f aca="false">IFERROR(G661/F661,0)</f>
        <v>0.171000132643587</v>
      </c>
      <c r="K661" s="23" t="n">
        <f aca="false">MONTH(B661)</f>
        <v>11</v>
      </c>
    </row>
    <row r="662" customFormat="false" ht="15" hidden="false" customHeight="true" outlineLevel="0" collapsed="false">
      <c r="A662" s="18" t="s">
        <v>714</v>
      </c>
      <c r="B662" s="19" t="n">
        <v>45437</v>
      </c>
      <c r="C662" s="18" t="s">
        <v>19</v>
      </c>
      <c r="D662" s="18" t="s">
        <v>72</v>
      </c>
      <c r="E662" s="18" t="s">
        <v>29</v>
      </c>
      <c r="F662" s="20" t="n">
        <v>71390</v>
      </c>
      <c r="G662" s="20" t="n">
        <v>11208.23</v>
      </c>
      <c r="H662" s="18" t="n">
        <v>10</v>
      </c>
      <c r="I662" s="20" t="n">
        <f aca="false">F662</f>
        <v>71390</v>
      </c>
      <c r="J662" s="22" t="n">
        <f aca="false">IFERROR(G662/F662,0)</f>
        <v>0.157</v>
      </c>
      <c r="K662" s="23" t="n">
        <f aca="false">MONTH(B662)</f>
        <v>5</v>
      </c>
    </row>
    <row r="663" customFormat="false" ht="15" hidden="false" customHeight="true" outlineLevel="0" collapsed="false">
      <c r="A663" s="18" t="s">
        <v>715</v>
      </c>
      <c r="B663" s="19" t="n">
        <v>45346</v>
      </c>
      <c r="C663" s="18" t="s">
        <v>41</v>
      </c>
      <c r="D663" s="18" t="s">
        <v>31</v>
      </c>
      <c r="E663" s="18" t="s">
        <v>32</v>
      </c>
      <c r="F663" s="20" t="n">
        <v>320730</v>
      </c>
      <c r="G663" s="20" t="n">
        <v>37204.68</v>
      </c>
      <c r="H663" s="18" t="n">
        <v>5</v>
      </c>
      <c r="I663" s="20" t="n">
        <f aca="false">F663</f>
        <v>320730</v>
      </c>
      <c r="J663" s="22" t="n">
        <f aca="false">IFERROR(G663/F663,0)</f>
        <v>0.116</v>
      </c>
      <c r="K663" s="23" t="n">
        <f aca="false">MONTH(B663)</f>
        <v>2</v>
      </c>
    </row>
    <row r="664" customFormat="false" ht="15" hidden="false" customHeight="true" outlineLevel="0" collapsed="false">
      <c r="A664" s="18" t="s">
        <v>716</v>
      </c>
      <c r="B664" s="19" t="n">
        <v>45312</v>
      </c>
      <c r="C664" s="18" t="s">
        <v>39</v>
      </c>
      <c r="D664" s="18" t="s">
        <v>70</v>
      </c>
      <c r="E664" s="18" t="s">
        <v>21</v>
      </c>
      <c r="F664" s="20" t="n">
        <v>116660</v>
      </c>
      <c r="G664" s="20" t="n">
        <v>25781.86</v>
      </c>
      <c r="H664" s="18" t="n">
        <v>10</v>
      </c>
      <c r="I664" s="20" t="n">
        <f aca="false">F664</f>
        <v>116660</v>
      </c>
      <c r="J664" s="22" t="n">
        <f aca="false">IFERROR(G664/F664,0)</f>
        <v>0.221</v>
      </c>
      <c r="K664" s="23" t="n">
        <f aca="false">MONTH(B664)</f>
        <v>1</v>
      </c>
    </row>
    <row r="665" customFormat="false" ht="15" hidden="false" customHeight="true" outlineLevel="0" collapsed="false">
      <c r="A665" s="18" t="s">
        <v>717</v>
      </c>
      <c r="B665" s="19" t="n">
        <v>45339</v>
      </c>
      <c r="C665" s="18" t="s">
        <v>27</v>
      </c>
      <c r="D665" s="18" t="s">
        <v>34</v>
      </c>
      <c r="E665" s="18" t="s">
        <v>25</v>
      </c>
      <c r="F665" s="20" t="n">
        <v>4212</v>
      </c>
      <c r="G665" s="20" t="n">
        <v>1330.99</v>
      </c>
      <c r="H665" s="18" t="n">
        <v>3</v>
      </c>
      <c r="I665" s="20" t="n">
        <f aca="false">F665</f>
        <v>4212</v>
      </c>
      <c r="J665" s="22" t="n">
        <f aca="false">IFERROR(G665/F665,0)</f>
        <v>0.315999525166192</v>
      </c>
      <c r="K665" s="23" t="n">
        <f aca="false">MONTH(B665)</f>
        <v>2</v>
      </c>
    </row>
    <row r="666" customFormat="false" ht="15" hidden="false" customHeight="true" outlineLevel="0" collapsed="false">
      <c r="A666" s="18" t="s">
        <v>718</v>
      </c>
      <c r="B666" s="19" t="n">
        <v>45319</v>
      </c>
      <c r="C666" s="18" t="s">
        <v>23</v>
      </c>
      <c r="D666" s="18" t="s">
        <v>86</v>
      </c>
      <c r="E666" s="18" t="s">
        <v>21</v>
      </c>
      <c r="F666" s="20" t="n">
        <v>170409</v>
      </c>
      <c r="G666" s="20" t="n">
        <v>39705.3</v>
      </c>
      <c r="H666" s="18" t="n">
        <v>3</v>
      </c>
      <c r="I666" s="20" t="n">
        <f aca="false">F666</f>
        <v>170409</v>
      </c>
      <c r="J666" s="22" t="n">
        <f aca="false">IFERROR(G666/F666,0)</f>
        <v>0.233000017604704</v>
      </c>
      <c r="K666" s="23" t="n">
        <f aca="false">MONTH(B666)</f>
        <v>1</v>
      </c>
    </row>
    <row r="667" customFormat="false" ht="15" hidden="false" customHeight="true" outlineLevel="0" collapsed="false">
      <c r="A667" s="18" t="s">
        <v>719</v>
      </c>
      <c r="B667" s="19" t="n">
        <v>45593</v>
      </c>
      <c r="C667" s="18" t="s">
        <v>19</v>
      </c>
      <c r="D667" s="18" t="s">
        <v>106</v>
      </c>
      <c r="E667" s="18" t="s">
        <v>25</v>
      </c>
      <c r="F667" s="20" t="n">
        <v>25530</v>
      </c>
      <c r="G667" s="20" t="n">
        <v>4671.99</v>
      </c>
      <c r="H667" s="18" t="n">
        <v>10</v>
      </c>
      <c r="I667" s="20" t="n">
        <f aca="false">F667</f>
        <v>25530</v>
      </c>
      <c r="J667" s="22" t="n">
        <f aca="false">IFERROR(G667/F667,0)</f>
        <v>0.183</v>
      </c>
      <c r="K667" s="23" t="n">
        <f aca="false">MONTH(B667)</f>
        <v>10</v>
      </c>
    </row>
    <row r="668" customFormat="false" ht="15" hidden="false" customHeight="true" outlineLevel="0" collapsed="false">
      <c r="A668" s="18" t="s">
        <v>720</v>
      </c>
      <c r="B668" s="19" t="n">
        <v>45619</v>
      </c>
      <c r="C668" s="18" t="s">
        <v>41</v>
      </c>
      <c r="D668" s="18" t="s">
        <v>31</v>
      </c>
      <c r="E668" s="18" t="s">
        <v>32</v>
      </c>
      <c r="F668" s="20" t="n">
        <v>255245</v>
      </c>
      <c r="G668" s="20" t="n">
        <v>26034.99</v>
      </c>
      <c r="H668" s="18" t="n">
        <v>5</v>
      </c>
      <c r="I668" s="20" t="n">
        <f aca="false">F668</f>
        <v>255245</v>
      </c>
      <c r="J668" s="22" t="n">
        <f aca="false">IFERROR(G668/F668,0)</f>
        <v>0.102</v>
      </c>
      <c r="K668" s="23" t="n">
        <f aca="false">MONTH(B668)</f>
        <v>11</v>
      </c>
    </row>
    <row r="669" customFormat="false" ht="15" hidden="false" customHeight="true" outlineLevel="0" collapsed="false">
      <c r="A669" s="18" t="s">
        <v>721</v>
      </c>
      <c r="B669" s="19" t="n">
        <v>45478</v>
      </c>
      <c r="C669" s="18" t="s">
        <v>39</v>
      </c>
      <c r="D669" s="18" t="s">
        <v>58</v>
      </c>
      <c r="E669" s="18" t="s">
        <v>50</v>
      </c>
      <c r="F669" s="20" t="n">
        <v>336</v>
      </c>
      <c r="G669" s="20" t="n">
        <v>112.22</v>
      </c>
      <c r="H669" s="18" t="n">
        <v>6</v>
      </c>
      <c r="I669" s="20" t="n">
        <f aca="false">F669</f>
        <v>336</v>
      </c>
      <c r="J669" s="22" t="n">
        <f aca="false">IFERROR(G669/F669,0)</f>
        <v>0.333988095238095</v>
      </c>
      <c r="K669" s="23" t="n">
        <f aca="false">MONTH(B669)</f>
        <v>7</v>
      </c>
    </row>
    <row r="670" customFormat="false" ht="15" hidden="false" customHeight="true" outlineLevel="0" collapsed="false">
      <c r="A670" s="18" t="s">
        <v>722</v>
      </c>
      <c r="B670" s="19" t="n">
        <v>45628</v>
      </c>
      <c r="C670" s="18" t="s">
        <v>41</v>
      </c>
      <c r="D670" s="18" t="s">
        <v>36</v>
      </c>
      <c r="E670" s="18" t="s">
        <v>25</v>
      </c>
      <c r="F670" s="20" t="n">
        <v>42230</v>
      </c>
      <c r="G670" s="20" t="n">
        <v>7474.71</v>
      </c>
      <c r="H670" s="18" t="n">
        <v>10</v>
      </c>
      <c r="I670" s="20" t="n">
        <f aca="false">F670</f>
        <v>42230</v>
      </c>
      <c r="J670" s="22" t="n">
        <f aca="false">IFERROR(G670/F670,0)</f>
        <v>0.177</v>
      </c>
      <c r="K670" s="23" t="n">
        <f aca="false">MONTH(B670)</f>
        <v>12</v>
      </c>
    </row>
    <row r="671" customFormat="false" ht="15" hidden="false" customHeight="true" outlineLevel="0" collapsed="false">
      <c r="A671" s="18" t="s">
        <v>723</v>
      </c>
      <c r="B671" s="19" t="n">
        <v>45559</v>
      </c>
      <c r="C671" s="18" t="s">
        <v>39</v>
      </c>
      <c r="D671" s="18" t="s">
        <v>58</v>
      </c>
      <c r="E671" s="18" t="s">
        <v>50</v>
      </c>
      <c r="F671" s="20" t="n">
        <v>469</v>
      </c>
      <c r="G671" s="20" t="n">
        <v>108.81</v>
      </c>
      <c r="H671" s="18" t="n">
        <v>7</v>
      </c>
      <c r="I671" s="20" t="n">
        <f aca="false">F671</f>
        <v>469</v>
      </c>
      <c r="J671" s="22" t="n">
        <f aca="false">IFERROR(G671/F671,0)</f>
        <v>0.232004264392324</v>
      </c>
      <c r="K671" s="23" t="n">
        <f aca="false">MONTH(B671)</f>
        <v>9</v>
      </c>
    </row>
    <row r="672" customFormat="false" ht="15" hidden="false" customHeight="true" outlineLevel="0" collapsed="false">
      <c r="A672" s="18" t="s">
        <v>724</v>
      </c>
      <c r="B672" s="19" t="n">
        <v>45597</v>
      </c>
      <c r="C672" s="18" t="s">
        <v>23</v>
      </c>
      <c r="D672" s="18" t="s">
        <v>55</v>
      </c>
      <c r="E672" s="18" t="s">
        <v>32</v>
      </c>
      <c r="F672" s="20" t="n">
        <v>147144</v>
      </c>
      <c r="G672" s="20" t="n">
        <v>17510.14</v>
      </c>
      <c r="H672" s="18" t="n">
        <v>4</v>
      </c>
      <c r="I672" s="20" t="n">
        <f aca="false">F672</f>
        <v>147144</v>
      </c>
      <c r="J672" s="22" t="n">
        <f aca="false">IFERROR(G672/F672,0)</f>
        <v>0.119000027184255</v>
      </c>
      <c r="K672" s="23" t="n">
        <f aca="false">MONTH(B672)</f>
        <v>11</v>
      </c>
    </row>
    <row r="673" customFormat="false" ht="15" hidden="false" customHeight="true" outlineLevel="0" collapsed="false">
      <c r="A673" s="18" t="s">
        <v>725</v>
      </c>
      <c r="B673" s="19" t="n">
        <v>45470</v>
      </c>
      <c r="C673" s="18" t="s">
        <v>41</v>
      </c>
      <c r="D673" s="18" t="s">
        <v>44</v>
      </c>
      <c r="E673" s="18" t="s">
        <v>32</v>
      </c>
      <c r="F673" s="20" t="n">
        <v>37071</v>
      </c>
      <c r="G673" s="20" t="n">
        <v>4930.44</v>
      </c>
      <c r="H673" s="18" t="n">
        <v>9</v>
      </c>
      <c r="I673" s="20" t="n">
        <f aca="false">F673</f>
        <v>37071</v>
      </c>
      <c r="J673" s="22" t="n">
        <f aca="false">IFERROR(G673/F673,0)</f>
        <v>0.132999919074209</v>
      </c>
      <c r="K673" s="23" t="n">
        <f aca="false">MONTH(B673)</f>
        <v>6</v>
      </c>
    </row>
    <row r="674" customFormat="false" ht="15" hidden="false" customHeight="true" outlineLevel="0" collapsed="false">
      <c r="A674" s="18" t="s">
        <v>726</v>
      </c>
      <c r="B674" s="19" t="n">
        <v>45416</v>
      </c>
      <c r="C674" s="18" t="s">
        <v>19</v>
      </c>
      <c r="D674" s="18" t="s">
        <v>36</v>
      </c>
      <c r="E674" s="18" t="s">
        <v>25</v>
      </c>
      <c r="F674" s="20" t="n">
        <v>42192</v>
      </c>
      <c r="G674" s="20" t="n">
        <v>13881.17</v>
      </c>
      <c r="H674" s="18" t="n">
        <v>8</v>
      </c>
      <c r="I674" s="20" t="n">
        <f aca="false">F674</f>
        <v>42192</v>
      </c>
      <c r="J674" s="22" t="n">
        <f aca="false">IFERROR(G674/F674,0)</f>
        <v>0.329000047402351</v>
      </c>
      <c r="K674" s="23" t="n">
        <f aca="false">MONTH(B674)</f>
        <v>5</v>
      </c>
    </row>
    <row r="675" customFormat="false" ht="15" hidden="false" customHeight="true" outlineLevel="0" collapsed="false">
      <c r="A675" s="18" t="s">
        <v>727</v>
      </c>
      <c r="B675" s="19" t="n">
        <v>45570</v>
      </c>
      <c r="C675" s="18" t="s">
        <v>27</v>
      </c>
      <c r="D675" s="18" t="s">
        <v>83</v>
      </c>
      <c r="E675" s="18" t="s">
        <v>21</v>
      </c>
      <c r="F675" s="20" t="n">
        <v>5631</v>
      </c>
      <c r="G675" s="20" t="n">
        <v>884.07</v>
      </c>
      <c r="H675" s="18" t="n">
        <v>1</v>
      </c>
      <c r="I675" s="20" t="n">
        <f aca="false">F675</f>
        <v>5631</v>
      </c>
      <c r="J675" s="22" t="n">
        <f aca="false">IFERROR(G675/F675,0)</f>
        <v>0.157000532765051</v>
      </c>
      <c r="K675" s="23" t="n">
        <f aca="false">MONTH(B675)</f>
        <v>10</v>
      </c>
    </row>
    <row r="676" customFormat="false" ht="15" hidden="false" customHeight="true" outlineLevel="0" collapsed="false">
      <c r="A676" s="18" t="s">
        <v>728</v>
      </c>
      <c r="B676" s="19" t="n">
        <v>45642</v>
      </c>
      <c r="C676" s="18" t="s">
        <v>19</v>
      </c>
      <c r="D676" s="18" t="s">
        <v>83</v>
      </c>
      <c r="E676" s="18" t="s">
        <v>21</v>
      </c>
      <c r="F676" s="20" t="n">
        <v>84296</v>
      </c>
      <c r="G676" s="20" t="n">
        <v>15173.28</v>
      </c>
      <c r="H676" s="18" t="n">
        <v>8</v>
      </c>
      <c r="I676" s="20" t="n">
        <f aca="false">F676</f>
        <v>84296</v>
      </c>
      <c r="J676" s="22" t="n">
        <f aca="false">IFERROR(G676/F676,0)</f>
        <v>0.18</v>
      </c>
      <c r="K676" s="23" t="n">
        <f aca="false">MONTH(B676)</f>
        <v>12</v>
      </c>
    </row>
    <row r="677" customFormat="false" ht="15" hidden="false" customHeight="true" outlineLevel="0" collapsed="false">
      <c r="A677" s="18" t="s">
        <v>729</v>
      </c>
      <c r="B677" s="19" t="n">
        <v>45367</v>
      </c>
      <c r="C677" s="18" t="s">
        <v>41</v>
      </c>
      <c r="D677" s="18" t="s">
        <v>36</v>
      </c>
      <c r="E677" s="18" t="s">
        <v>25</v>
      </c>
      <c r="F677" s="20" t="n">
        <v>9964</v>
      </c>
      <c r="G677" s="20" t="n">
        <v>1933.02</v>
      </c>
      <c r="H677" s="18" t="n">
        <v>2</v>
      </c>
      <c r="I677" s="20" t="n">
        <f aca="false">F677</f>
        <v>9964</v>
      </c>
      <c r="J677" s="22" t="n">
        <f aca="false">IFERROR(G677/F677,0)</f>
        <v>0.194000401445203</v>
      </c>
      <c r="K677" s="23" t="n">
        <f aca="false">MONTH(B677)</f>
        <v>3</v>
      </c>
    </row>
    <row r="678" customFormat="false" ht="15" hidden="false" customHeight="true" outlineLevel="0" collapsed="false">
      <c r="A678" s="18" t="s">
        <v>730</v>
      </c>
      <c r="B678" s="19" t="n">
        <v>45512</v>
      </c>
      <c r="C678" s="18" t="s">
        <v>41</v>
      </c>
      <c r="D678" s="18" t="s">
        <v>24</v>
      </c>
      <c r="E678" s="18" t="s">
        <v>25</v>
      </c>
      <c r="F678" s="20" t="n">
        <v>4692</v>
      </c>
      <c r="G678" s="20" t="n">
        <v>1318.45</v>
      </c>
      <c r="H678" s="18" t="n">
        <v>2</v>
      </c>
      <c r="I678" s="20" t="n">
        <f aca="false">F678</f>
        <v>4692</v>
      </c>
      <c r="J678" s="22" t="n">
        <f aca="false">IFERROR(G678/F678,0)</f>
        <v>0.280999573742541</v>
      </c>
      <c r="K678" s="23" t="n">
        <f aca="false">MONTH(B678)</f>
        <v>8</v>
      </c>
    </row>
    <row r="679" customFormat="false" ht="15" hidden="false" customHeight="true" outlineLevel="0" collapsed="false">
      <c r="A679" s="18" t="s">
        <v>731</v>
      </c>
      <c r="B679" s="19" t="n">
        <v>45606</v>
      </c>
      <c r="C679" s="18" t="s">
        <v>39</v>
      </c>
      <c r="D679" s="18" t="s">
        <v>36</v>
      </c>
      <c r="E679" s="18" t="s">
        <v>25</v>
      </c>
      <c r="F679" s="20" t="n">
        <v>23841</v>
      </c>
      <c r="G679" s="20" t="n">
        <v>5698</v>
      </c>
      <c r="H679" s="18" t="n">
        <v>9</v>
      </c>
      <c r="I679" s="20" t="n">
        <f aca="false">F679</f>
        <v>23841</v>
      </c>
      <c r="J679" s="22" t="n">
        <f aca="false">IFERROR(G679/F679,0)</f>
        <v>0.239000041944549</v>
      </c>
      <c r="K679" s="23" t="n">
        <f aca="false">MONTH(B679)</f>
        <v>11</v>
      </c>
    </row>
    <row r="680" customFormat="false" ht="15" hidden="false" customHeight="true" outlineLevel="0" collapsed="false">
      <c r="A680" s="18" t="s">
        <v>732</v>
      </c>
      <c r="B680" s="19" t="n">
        <v>45455</v>
      </c>
      <c r="C680" s="18" t="s">
        <v>19</v>
      </c>
      <c r="D680" s="18" t="s">
        <v>91</v>
      </c>
      <c r="E680" s="18" t="s">
        <v>25</v>
      </c>
      <c r="F680" s="20" t="n">
        <v>28464</v>
      </c>
      <c r="G680" s="20" t="n">
        <v>8709.98</v>
      </c>
      <c r="H680" s="18" t="n">
        <v>8</v>
      </c>
      <c r="I680" s="20" t="n">
        <f aca="false">F680</f>
        <v>28464</v>
      </c>
      <c r="J680" s="22" t="n">
        <f aca="false">IFERROR(G680/F680,0)</f>
        <v>0.305999859471613</v>
      </c>
      <c r="K680" s="23" t="n">
        <f aca="false">MONTH(B680)</f>
        <v>6</v>
      </c>
    </row>
    <row r="681" customFormat="false" ht="15" hidden="false" customHeight="true" outlineLevel="0" collapsed="false">
      <c r="A681" s="18" t="s">
        <v>733</v>
      </c>
      <c r="B681" s="19" t="n">
        <v>45607</v>
      </c>
      <c r="C681" s="18" t="s">
        <v>27</v>
      </c>
      <c r="D681" s="18" t="s">
        <v>42</v>
      </c>
      <c r="E681" s="18" t="s">
        <v>21</v>
      </c>
      <c r="F681" s="20" t="n">
        <v>51984</v>
      </c>
      <c r="G681" s="20" t="n">
        <v>8473.39</v>
      </c>
      <c r="H681" s="18" t="n">
        <v>3</v>
      </c>
      <c r="I681" s="20" t="n">
        <f aca="false">F681</f>
        <v>51984</v>
      </c>
      <c r="J681" s="22" t="n">
        <f aca="false">IFERROR(G681/F681,0)</f>
        <v>0.162999961526624</v>
      </c>
      <c r="K681" s="23" t="n">
        <f aca="false">MONTH(B681)</f>
        <v>11</v>
      </c>
    </row>
    <row r="682" customFormat="false" ht="15" hidden="false" customHeight="true" outlineLevel="0" collapsed="false">
      <c r="A682" s="18" t="s">
        <v>734</v>
      </c>
      <c r="B682" s="19" t="n">
        <v>45496</v>
      </c>
      <c r="C682" s="18" t="s">
        <v>27</v>
      </c>
      <c r="D682" s="18" t="s">
        <v>88</v>
      </c>
      <c r="E682" s="18" t="s">
        <v>50</v>
      </c>
      <c r="F682" s="20" t="n">
        <v>870</v>
      </c>
      <c r="G682" s="20" t="n">
        <v>260.13</v>
      </c>
      <c r="H682" s="18" t="n">
        <v>6</v>
      </c>
      <c r="I682" s="20" t="n">
        <f aca="false">F682</f>
        <v>870</v>
      </c>
      <c r="J682" s="22" t="n">
        <f aca="false">IFERROR(G682/F682,0)</f>
        <v>0.299</v>
      </c>
      <c r="K682" s="23" t="n">
        <f aca="false">MONTH(B682)</f>
        <v>7</v>
      </c>
    </row>
    <row r="683" customFormat="false" ht="15" hidden="false" customHeight="true" outlineLevel="0" collapsed="false">
      <c r="A683" s="18" t="s">
        <v>735</v>
      </c>
      <c r="B683" s="19" t="n">
        <v>45461</v>
      </c>
      <c r="C683" s="18" t="s">
        <v>41</v>
      </c>
      <c r="D683" s="18" t="s">
        <v>96</v>
      </c>
      <c r="E683" s="18" t="s">
        <v>50</v>
      </c>
      <c r="F683" s="20" t="n">
        <v>688</v>
      </c>
      <c r="G683" s="20" t="n">
        <v>166.5</v>
      </c>
      <c r="H683" s="18" t="n">
        <v>8</v>
      </c>
      <c r="I683" s="20" t="n">
        <f aca="false">F683</f>
        <v>688</v>
      </c>
      <c r="J683" s="22" t="n">
        <f aca="false">IFERROR(G683/F683,0)</f>
        <v>0.242005813953488</v>
      </c>
      <c r="K683" s="23" t="n">
        <f aca="false">MONTH(B683)</f>
        <v>6</v>
      </c>
    </row>
    <row r="684" customFormat="false" ht="15" hidden="false" customHeight="true" outlineLevel="0" collapsed="false">
      <c r="A684" s="18" t="s">
        <v>736</v>
      </c>
      <c r="B684" s="19" t="n">
        <v>45568</v>
      </c>
      <c r="C684" s="18" t="s">
        <v>19</v>
      </c>
      <c r="D684" s="18" t="s">
        <v>34</v>
      </c>
      <c r="E684" s="18" t="s">
        <v>25</v>
      </c>
      <c r="F684" s="20" t="n">
        <v>4545</v>
      </c>
      <c r="G684" s="20" t="n">
        <v>899.91</v>
      </c>
      <c r="H684" s="18" t="n">
        <v>5</v>
      </c>
      <c r="I684" s="20" t="n">
        <f aca="false">F684</f>
        <v>4545</v>
      </c>
      <c r="J684" s="22" t="n">
        <f aca="false">IFERROR(G684/F684,0)</f>
        <v>0.198</v>
      </c>
      <c r="K684" s="23" t="n">
        <f aca="false">MONTH(B684)</f>
        <v>10</v>
      </c>
    </row>
    <row r="685" customFormat="false" ht="15" hidden="false" customHeight="true" outlineLevel="0" collapsed="false">
      <c r="A685" s="18" t="s">
        <v>737</v>
      </c>
      <c r="B685" s="19" t="n">
        <v>45652</v>
      </c>
      <c r="C685" s="18" t="s">
        <v>19</v>
      </c>
      <c r="D685" s="18" t="s">
        <v>36</v>
      </c>
      <c r="E685" s="18" t="s">
        <v>25</v>
      </c>
      <c r="F685" s="20" t="n">
        <v>59770</v>
      </c>
      <c r="G685" s="20" t="n">
        <v>17811.46</v>
      </c>
      <c r="H685" s="18" t="n">
        <v>10</v>
      </c>
      <c r="I685" s="20" t="n">
        <f aca="false">F685</f>
        <v>59770</v>
      </c>
      <c r="J685" s="22" t="n">
        <f aca="false">IFERROR(G685/F685,0)</f>
        <v>0.298</v>
      </c>
      <c r="K685" s="23" t="n">
        <f aca="false">MONTH(B685)</f>
        <v>12</v>
      </c>
    </row>
    <row r="686" customFormat="false" ht="15" hidden="false" customHeight="true" outlineLevel="0" collapsed="false">
      <c r="A686" s="18" t="s">
        <v>738</v>
      </c>
      <c r="B686" s="19" t="n">
        <v>45566</v>
      </c>
      <c r="C686" s="18" t="s">
        <v>27</v>
      </c>
      <c r="D686" s="18" t="s">
        <v>46</v>
      </c>
      <c r="E686" s="18" t="s">
        <v>29</v>
      </c>
      <c r="F686" s="20" t="n">
        <v>48084</v>
      </c>
      <c r="G686" s="20" t="n">
        <v>9568.72</v>
      </c>
      <c r="H686" s="18" t="n">
        <v>6</v>
      </c>
      <c r="I686" s="20" t="n">
        <f aca="false">F686</f>
        <v>48084</v>
      </c>
      <c r="J686" s="22" t="n">
        <f aca="false">IFERROR(G686/F686,0)</f>
        <v>0.199000083187755</v>
      </c>
      <c r="K686" s="23" t="n">
        <f aca="false">MONTH(B686)</f>
        <v>10</v>
      </c>
    </row>
    <row r="687" customFormat="false" ht="15" hidden="false" customHeight="true" outlineLevel="0" collapsed="false">
      <c r="A687" s="18" t="s">
        <v>739</v>
      </c>
      <c r="B687" s="19" t="n">
        <v>45414</v>
      </c>
      <c r="C687" s="18" t="s">
        <v>23</v>
      </c>
      <c r="D687" s="18" t="s">
        <v>70</v>
      </c>
      <c r="E687" s="18" t="s">
        <v>21</v>
      </c>
      <c r="F687" s="20" t="n">
        <v>112365</v>
      </c>
      <c r="G687" s="20" t="n">
        <v>20338.06</v>
      </c>
      <c r="H687" s="18" t="n">
        <v>5</v>
      </c>
      <c r="I687" s="20" t="n">
        <f aca="false">F687</f>
        <v>112365</v>
      </c>
      <c r="J687" s="22" t="n">
        <f aca="false">IFERROR(G687/F687,0)</f>
        <v>0.180999955502158</v>
      </c>
      <c r="K687" s="23" t="n">
        <f aca="false">MONTH(B687)</f>
        <v>5</v>
      </c>
    </row>
    <row r="688" customFormat="false" ht="15" hidden="false" customHeight="true" outlineLevel="0" collapsed="false">
      <c r="A688" s="18" t="s">
        <v>740</v>
      </c>
      <c r="B688" s="19" t="n">
        <v>45628</v>
      </c>
      <c r="C688" s="18" t="s">
        <v>39</v>
      </c>
      <c r="D688" s="18" t="s">
        <v>52</v>
      </c>
      <c r="E688" s="18" t="s">
        <v>32</v>
      </c>
      <c r="F688" s="20" t="n">
        <v>6599</v>
      </c>
      <c r="G688" s="20" t="n">
        <v>620.31</v>
      </c>
      <c r="H688" s="18" t="n">
        <v>1</v>
      </c>
      <c r="I688" s="20" t="n">
        <f aca="false">F688</f>
        <v>6599</v>
      </c>
      <c r="J688" s="22" t="n">
        <f aca="false">IFERROR(G688/F688,0)</f>
        <v>0.0940006061524473</v>
      </c>
      <c r="K688" s="23" t="n">
        <f aca="false">MONTH(B688)</f>
        <v>12</v>
      </c>
    </row>
    <row r="689" customFormat="false" ht="15" hidden="false" customHeight="true" outlineLevel="0" collapsed="false">
      <c r="A689" s="18" t="s">
        <v>741</v>
      </c>
      <c r="B689" s="19" t="n">
        <v>45339</v>
      </c>
      <c r="C689" s="18" t="s">
        <v>19</v>
      </c>
      <c r="D689" s="18" t="s">
        <v>120</v>
      </c>
      <c r="E689" s="18" t="s">
        <v>29</v>
      </c>
      <c r="F689" s="20" t="n">
        <v>139090</v>
      </c>
      <c r="G689" s="20" t="n">
        <v>23645.3</v>
      </c>
      <c r="H689" s="18" t="n">
        <v>10</v>
      </c>
      <c r="I689" s="20" t="n">
        <f aca="false">F689</f>
        <v>139090</v>
      </c>
      <c r="J689" s="22" t="n">
        <f aca="false">IFERROR(G689/F689,0)</f>
        <v>0.17</v>
      </c>
      <c r="K689" s="23" t="n">
        <f aca="false">MONTH(B689)</f>
        <v>2</v>
      </c>
    </row>
    <row r="690" customFormat="false" ht="15" hidden="false" customHeight="true" outlineLevel="0" collapsed="false">
      <c r="A690" s="18" t="s">
        <v>742</v>
      </c>
      <c r="B690" s="19" t="n">
        <v>45648</v>
      </c>
      <c r="C690" s="18" t="s">
        <v>19</v>
      </c>
      <c r="D690" s="18" t="s">
        <v>106</v>
      </c>
      <c r="E690" s="18" t="s">
        <v>25</v>
      </c>
      <c r="F690" s="20" t="n">
        <v>2362</v>
      </c>
      <c r="G690" s="20" t="n">
        <v>538.54</v>
      </c>
      <c r="H690" s="18" t="n">
        <v>1</v>
      </c>
      <c r="I690" s="20" t="n">
        <f aca="false">F690</f>
        <v>2362</v>
      </c>
      <c r="J690" s="22" t="n">
        <f aca="false">IFERROR(G690/F690,0)</f>
        <v>0.228001693480102</v>
      </c>
      <c r="K690" s="23" t="n">
        <f aca="false">MONTH(B690)</f>
        <v>12</v>
      </c>
    </row>
    <row r="691" customFormat="false" ht="15" hidden="false" customHeight="true" outlineLevel="0" collapsed="false">
      <c r="A691" s="18" t="s">
        <v>743</v>
      </c>
      <c r="B691" s="19" t="n">
        <v>45514</v>
      </c>
      <c r="C691" s="18" t="s">
        <v>19</v>
      </c>
      <c r="D691" s="18" t="s">
        <v>46</v>
      </c>
      <c r="E691" s="18" t="s">
        <v>29</v>
      </c>
      <c r="F691" s="20" t="n">
        <v>8394</v>
      </c>
      <c r="G691" s="20" t="n">
        <v>1032.46</v>
      </c>
      <c r="H691" s="18" t="n">
        <v>2</v>
      </c>
      <c r="I691" s="20" t="n">
        <f aca="false">F691</f>
        <v>8394</v>
      </c>
      <c r="J691" s="22" t="n">
        <f aca="false">IFERROR(G691/F691,0)</f>
        <v>0.122999761734572</v>
      </c>
      <c r="K691" s="23" t="n">
        <f aca="false">MONTH(B691)</f>
        <v>8</v>
      </c>
    </row>
    <row r="692" customFormat="false" ht="15" hidden="false" customHeight="true" outlineLevel="0" collapsed="false">
      <c r="A692" s="18" t="s">
        <v>744</v>
      </c>
      <c r="B692" s="19" t="n">
        <v>45622</v>
      </c>
      <c r="C692" s="18" t="s">
        <v>41</v>
      </c>
      <c r="D692" s="18" t="s">
        <v>46</v>
      </c>
      <c r="E692" s="18" t="s">
        <v>29</v>
      </c>
      <c r="F692" s="20" t="n">
        <v>77400</v>
      </c>
      <c r="G692" s="20" t="n">
        <v>14860.8</v>
      </c>
      <c r="H692" s="18" t="n">
        <v>10</v>
      </c>
      <c r="I692" s="20" t="n">
        <f aca="false">F692</f>
        <v>77400</v>
      </c>
      <c r="J692" s="22" t="n">
        <f aca="false">IFERROR(G692/F692,0)</f>
        <v>0.192</v>
      </c>
      <c r="K692" s="23" t="n">
        <f aca="false">MONTH(B692)</f>
        <v>11</v>
      </c>
    </row>
    <row r="693" customFormat="false" ht="15" hidden="false" customHeight="true" outlineLevel="0" collapsed="false">
      <c r="A693" s="18" t="s">
        <v>745</v>
      </c>
      <c r="B693" s="19" t="n">
        <v>45353</v>
      </c>
      <c r="C693" s="18" t="s">
        <v>41</v>
      </c>
      <c r="D693" s="18" t="s">
        <v>44</v>
      </c>
      <c r="E693" s="18" t="s">
        <v>32</v>
      </c>
      <c r="F693" s="20" t="n">
        <v>29210</v>
      </c>
      <c r="G693" s="20" t="n">
        <v>2453.64</v>
      </c>
      <c r="H693" s="18" t="n">
        <v>5</v>
      </c>
      <c r="I693" s="20" t="n">
        <f aca="false">F693</f>
        <v>29210</v>
      </c>
      <c r="J693" s="22" t="n">
        <f aca="false">IFERROR(G693/F693,0)</f>
        <v>0.084</v>
      </c>
      <c r="K693" s="23" t="n">
        <f aca="false">MONTH(B693)</f>
        <v>3</v>
      </c>
    </row>
    <row r="694" customFormat="false" ht="15" hidden="false" customHeight="true" outlineLevel="0" collapsed="false">
      <c r="A694" s="18" t="s">
        <v>746</v>
      </c>
      <c r="B694" s="19" t="n">
        <v>45356</v>
      </c>
      <c r="C694" s="18" t="s">
        <v>23</v>
      </c>
      <c r="D694" s="18" t="s">
        <v>46</v>
      </c>
      <c r="E694" s="18" t="s">
        <v>29</v>
      </c>
      <c r="F694" s="20" t="n">
        <v>30864</v>
      </c>
      <c r="G694" s="20" t="n">
        <v>5771.57</v>
      </c>
      <c r="H694" s="18" t="n">
        <v>6</v>
      </c>
      <c r="I694" s="20" t="n">
        <f aca="false">F694</f>
        <v>30864</v>
      </c>
      <c r="J694" s="22" t="n">
        <f aca="false">IFERROR(G694/F694,0)</f>
        <v>0.187000064800415</v>
      </c>
      <c r="K694" s="23" t="n">
        <f aca="false">MONTH(B694)</f>
        <v>3</v>
      </c>
    </row>
    <row r="695" customFormat="false" ht="15" hidden="false" customHeight="true" outlineLevel="0" collapsed="false">
      <c r="A695" s="18" t="s">
        <v>747</v>
      </c>
      <c r="B695" s="19" t="n">
        <v>45632</v>
      </c>
      <c r="C695" s="18" t="s">
        <v>39</v>
      </c>
      <c r="D695" s="18" t="s">
        <v>64</v>
      </c>
      <c r="E695" s="18" t="s">
        <v>32</v>
      </c>
      <c r="F695" s="20" t="n">
        <v>356993</v>
      </c>
      <c r="G695" s="20" t="n">
        <v>39626.22</v>
      </c>
      <c r="H695" s="18" t="n">
        <v>7</v>
      </c>
      <c r="I695" s="20" t="n">
        <f aca="false">F695</f>
        <v>356993</v>
      </c>
      <c r="J695" s="22" t="n">
        <f aca="false">IFERROR(G695/F695,0)</f>
        <v>0.110999991596474</v>
      </c>
      <c r="K695" s="23" t="n">
        <f aca="false">MONTH(B695)</f>
        <v>12</v>
      </c>
    </row>
    <row r="696" customFormat="false" ht="15" hidden="false" customHeight="true" outlineLevel="0" collapsed="false">
      <c r="A696" s="18" t="s">
        <v>748</v>
      </c>
      <c r="B696" s="19" t="n">
        <v>45446</v>
      </c>
      <c r="C696" s="18" t="s">
        <v>41</v>
      </c>
      <c r="D696" s="18" t="s">
        <v>106</v>
      </c>
      <c r="E696" s="18" t="s">
        <v>25</v>
      </c>
      <c r="F696" s="20" t="n">
        <v>11862</v>
      </c>
      <c r="G696" s="20" t="n">
        <v>2431.71</v>
      </c>
      <c r="H696" s="18" t="n">
        <v>9</v>
      </c>
      <c r="I696" s="20" t="n">
        <f aca="false">F696</f>
        <v>11862</v>
      </c>
      <c r="J696" s="22" t="n">
        <f aca="false">IFERROR(G696/F696,0)</f>
        <v>0.205</v>
      </c>
      <c r="K696" s="23" t="n">
        <f aca="false">MONTH(B696)</f>
        <v>6</v>
      </c>
    </row>
    <row r="697" customFormat="false" ht="15" hidden="false" customHeight="true" outlineLevel="0" collapsed="false">
      <c r="A697" s="18" t="s">
        <v>749</v>
      </c>
      <c r="B697" s="19" t="n">
        <v>45392</v>
      </c>
      <c r="C697" s="18" t="s">
        <v>39</v>
      </c>
      <c r="D697" s="18" t="s">
        <v>52</v>
      </c>
      <c r="E697" s="18" t="s">
        <v>32</v>
      </c>
      <c r="F697" s="20" t="n">
        <v>17962</v>
      </c>
      <c r="G697" s="20" t="n">
        <v>2263.21</v>
      </c>
      <c r="H697" s="18" t="n">
        <v>7</v>
      </c>
      <c r="I697" s="20" t="n">
        <f aca="false">F697</f>
        <v>17962</v>
      </c>
      <c r="J697" s="22" t="n">
        <f aca="false">IFERROR(G697/F697,0)</f>
        <v>0.125999888653825</v>
      </c>
      <c r="K697" s="23" t="n">
        <f aca="false">MONTH(B697)</f>
        <v>4</v>
      </c>
    </row>
    <row r="698" customFormat="false" ht="15" hidden="false" customHeight="true" outlineLevel="0" collapsed="false">
      <c r="A698" s="18" t="s">
        <v>750</v>
      </c>
      <c r="B698" s="19" t="n">
        <v>45385</v>
      </c>
      <c r="C698" s="18" t="s">
        <v>41</v>
      </c>
      <c r="D698" s="18" t="s">
        <v>88</v>
      </c>
      <c r="E698" s="18" t="s">
        <v>50</v>
      </c>
      <c r="F698" s="20" t="n">
        <v>1981</v>
      </c>
      <c r="G698" s="20" t="n">
        <v>503.17</v>
      </c>
      <c r="H698" s="18" t="n">
        <v>7</v>
      </c>
      <c r="I698" s="20" t="n">
        <f aca="false">F698</f>
        <v>1981</v>
      </c>
      <c r="J698" s="22" t="n">
        <f aca="false">IFERROR(G698/F698,0)</f>
        <v>0.253997980817769</v>
      </c>
      <c r="K698" s="23" t="n">
        <f aca="false">MONTH(B698)</f>
        <v>4</v>
      </c>
    </row>
    <row r="699" customFormat="false" ht="15" hidden="false" customHeight="true" outlineLevel="0" collapsed="false">
      <c r="A699" s="18" t="s">
        <v>751</v>
      </c>
      <c r="B699" s="19" t="n">
        <v>45318</v>
      </c>
      <c r="C699" s="18" t="s">
        <v>19</v>
      </c>
      <c r="D699" s="18" t="s">
        <v>55</v>
      </c>
      <c r="E699" s="18" t="s">
        <v>32</v>
      </c>
      <c r="F699" s="20" t="n">
        <v>109158</v>
      </c>
      <c r="G699" s="20" t="n">
        <v>14845.49</v>
      </c>
      <c r="H699" s="18" t="n">
        <v>6</v>
      </c>
      <c r="I699" s="20" t="n">
        <f aca="false">F699</f>
        <v>109158</v>
      </c>
      <c r="J699" s="22" t="n">
        <f aca="false">IFERROR(G699/F699,0)</f>
        <v>0.136000018322065</v>
      </c>
      <c r="K699" s="23" t="n">
        <f aca="false">MONTH(B699)</f>
        <v>1</v>
      </c>
    </row>
    <row r="700" customFormat="false" ht="15" hidden="false" customHeight="true" outlineLevel="0" collapsed="false">
      <c r="A700" s="18" t="s">
        <v>752</v>
      </c>
      <c r="B700" s="19" t="n">
        <v>45650</v>
      </c>
      <c r="C700" s="18" t="s">
        <v>39</v>
      </c>
      <c r="D700" s="18" t="s">
        <v>49</v>
      </c>
      <c r="E700" s="18" t="s">
        <v>50</v>
      </c>
      <c r="F700" s="20" t="n">
        <v>64</v>
      </c>
      <c r="G700" s="20" t="n">
        <v>12.8</v>
      </c>
      <c r="H700" s="18" t="n">
        <v>2</v>
      </c>
      <c r="I700" s="20" t="n">
        <f aca="false">F700</f>
        <v>64</v>
      </c>
      <c r="J700" s="22" t="n">
        <f aca="false">IFERROR(G700/F700,0)</f>
        <v>0.2</v>
      </c>
      <c r="K700" s="23" t="n">
        <f aca="false">MONTH(B700)</f>
        <v>12</v>
      </c>
    </row>
    <row r="701" customFormat="false" ht="15" hidden="false" customHeight="true" outlineLevel="0" collapsed="false">
      <c r="A701" s="18" t="s">
        <v>753</v>
      </c>
      <c r="B701" s="19" t="n">
        <v>45608</v>
      </c>
      <c r="C701" s="18" t="s">
        <v>19</v>
      </c>
      <c r="D701" s="18" t="s">
        <v>24</v>
      </c>
      <c r="E701" s="18" t="s">
        <v>25</v>
      </c>
      <c r="F701" s="20" t="n">
        <v>8240</v>
      </c>
      <c r="G701" s="20" t="n">
        <v>1359.6</v>
      </c>
      <c r="H701" s="18" t="n">
        <v>4</v>
      </c>
      <c r="I701" s="20" t="n">
        <f aca="false">F701</f>
        <v>8240</v>
      </c>
      <c r="J701" s="22" t="n">
        <f aca="false">IFERROR(G701/F701,0)</f>
        <v>0.165</v>
      </c>
      <c r="K701" s="23" t="n">
        <f aca="false">MONTH(B701)</f>
        <v>11</v>
      </c>
    </row>
    <row r="702" customFormat="false" ht="15" hidden="false" customHeight="true" outlineLevel="0" collapsed="false">
      <c r="A702" s="18" t="s">
        <v>754</v>
      </c>
      <c r="B702" s="19" t="n">
        <v>45612</v>
      </c>
      <c r="C702" s="18" t="s">
        <v>41</v>
      </c>
      <c r="D702" s="18" t="s">
        <v>91</v>
      </c>
      <c r="E702" s="18" t="s">
        <v>25</v>
      </c>
      <c r="F702" s="20" t="n">
        <v>9708</v>
      </c>
      <c r="G702" s="20" t="n">
        <v>1495.03</v>
      </c>
      <c r="H702" s="18" t="n">
        <v>2</v>
      </c>
      <c r="I702" s="20" t="n">
        <f aca="false">F702</f>
        <v>9708</v>
      </c>
      <c r="J702" s="22" t="n">
        <f aca="false">IFERROR(G702/F702,0)</f>
        <v>0.153999793984343</v>
      </c>
      <c r="K702" s="23" t="n">
        <f aca="false">MONTH(B702)</f>
        <v>11</v>
      </c>
    </row>
    <row r="703" customFormat="false" ht="15" hidden="false" customHeight="true" outlineLevel="0" collapsed="false">
      <c r="A703" s="18" t="s">
        <v>755</v>
      </c>
      <c r="B703" s="19" t="n">
        <v>45341</v>
      </c>
      <c r="C703" s="18" t="s">
        <v>27</v>
      </c>
      <c r="D703" s="18" t="s">
        <v>58</v>
      </c>
      <c r="E703" s="18" t="s">
        <v>50</v>
      </c>
      <c r="F703" s="20" t="n">
        <v>606</v>
      </c>
      <c r="G703" s="20" t="n">
        <v>235.13</v>
      </c>
      <c r="H703" s="18" t="n">
        <v>6</v>
      </c>
      <c r="I703" s="20" t="n">
        <f aca="false">F703</f>
        <v>606</v>
      </c>
      <c r="J703" s="22" t="n">
        <f aca="false">IFERROR(G703/F703,0)</f>
        <v>0.388003300330033</v>
      </c>
      <c r="K703" s="23" t="n">
        <f aca="false">MONTH(B703)</f>
        <v>2</v>
      </c>
    </row>
    <row r="704" customFormat="false" ht="15" hidden="false" customHeight="true" outlineLevel="0" collapsed="false">
      <c r="A704" s="18" t="s">
        <v>756</v>
      </c>
      <c r="B704" s="19" t="n">
        <v>45409</v>
      </c>
      <c r="C704" s="18" t="s">
        <v>41</v>
      </c>
      <c r="D704" s="18" t="s">
        <v>64</v>
      </c>
      <c r="E704" s="18" t="s">
        <v>32</v>
      </c>
      <c r="F704" s="20" t="n">
        <v>87858</v>
      </c>
      <c r="G704" s="20" t="n">
        <v>11509.4</v>
      </c>
      <c r="H704" s="18" t="n">
        <v>6</v>
      </c>
      <c r="I704" s="20" t="n">
        <f aca="false">F704</f>
        <v>87858</v>
      </c>
      <c r="J704" s="22" t="n">
        <f aca="false">IFERROR(G704/F704,0)</f>
        <v>0.131000022764006</v>
      </c>
      <c r="K704" s="23" t="n">
        <f aca="false">MONTH(B704)</f>
        <v>4</v>
      </c>
    </row>
    <row r="705" customFormat="false" ht="15" hidden="false" customHeight="true" outlineLevel="0" collapsed="false">
      <c r="A705" s="18" t="s">
        <v>757</v>
      </c>
      <c r="B705" s="19" t="n">
        <v>45564</v>
      </c>
      <c r="C705" s="18" t="s">
        <v>39</v>
      </c>
      <c r="D705" s="18" t="s">
        <v>93</v>
      </c>
      <c r="E705" s="18" t="s">
        <v>32</v>
      </c>
      <c r="F705" s="20" t="n">
        <v>84056</v>
      </c>
      <c r="G705" s="20" t="n">
        <v>8153.43</v>
      </c>
      <c r="H705" s="18" t="n">
        <v>8</v>
      </c>
      <c r="I705" s="20" t="n">
        <f aca="false">F705</f>
        <v>84056</v>
      </c>
      <c r="J705" s="22" t="n">
        <f aca="false">IFERROR(G705/F705,0)</f>
        <v>0.0969999762063386</v>
      </c>
      <c r="K705" s="23" t="n">
        <f aca="false">MONTH(B705)</f>
        <v>9</v>
      </c>
    </row>
    <row r="706" customFormat="false" ht="15" hidden="false" customHeight="true" outlineLevel="0" collapsed="false">
      <c r="A706" s="18" t="s">
        <v>758</v>
      </c>
      <c r="B706" s="19" t="n">
        <v>45598</v>
      </c>
      <c r="C706" s="18" t="s">
        <v>23</v>
      </c>
      <c r="D706" s="18" t="s">
        <v>91</v>
      </c>
      <c r="E706" s="18" t="s">
        <v>25</v>
      </c>
      <c r="F706" s="20" t="n">
        <v>14217</v>
      </c>
      <c r="G706" s="20" t="n">
        <v>2331.59</v>
      </c>
      <c r="H706" s="18" t="n">
        <v>3</v>
      </c>
      <c r="I706" s="20" t="n">
        <f aca="false">F706</f>
        <v>14217</v>
      </c>
      <c r="J706" s="22" t="n">
        <f aca="false">IFERROR(G706/F706,0)</f>
        <v>0.164000140676655</v>
      </c>
      <c r="K706" s="23" t="n">
        <f aca="false">MONTH(B706)</f>
        <v>11</v>
      </c>
    </row>
    <row r="707" customFormat="false" ht="15" hidden="false" customHeight="true" outlineLevel="0" collapsed="false">
      <c r="A707" s="18" t="s">
        <v>759</v>
      </c>
      <c r="B707" s="19" t="n">
        <v>45639</v>
      </c>
      <c r="C707" s="18" t="s">
        <v>41</v>
      </c>
      <c r="D707" s="18" t="s">
        <v>93</v>
      </c>
      <c r="E707" s="18" t="s">
        <v>32</v>
      </c>
      <c r="F707" s="20" t="n">
        <v>17297</v>
      </c>
      <c r="G707" s="20" t="n">
        <v>3096.16</v>
      </c>
      <c r="H707" s="18" t="n">
        <v>7</v>
      </c>
      <c r="I707" s="20" t="n">
        <f aca="false">F707</f>
        <v>17297</v>
      </c>
      <c r="J707" s="22" t="n">
        <f aca="false">IFERROR(G707/F707,0)</f>
        <v>0.178999826559519</v>
      </c>
      <c r="K707" s="23" t="n">
        <f aca="false">MONTH(B707)</f>
        <v>12</v>
      </c>
    </row>
    <row r="708" customFormat="false" ht="15" hidden="false" customHeight="true" outlineLevel="0" collapsed="false">
      <c r="A708" s="18" t="s">
        <v>760</v>
      </c>
      <c r="B708" s="19" t="n">
        <v>45573</v>
      </c>
      <c r="C708" s="18" t="s">
        <v>23</v>
      </c>
      <c r="D708" s="18" t="s">
        <v>106</v>
      </c>
      <c r="E708" s="18" t="s">
        <v>25</v>
      </c>
      <c r="F708" s="20" t="n">
        <v>1458</v>
      </c>
      <c r="G708" s="20" t="n">
        <v>332.42</v>
      </c>
      <c r="H708" s="18" t="n">
        <v>1</v>
      </c>
      <c r="I708" s="20" t="n">
        <f aca="false">F708</f>
        <v>1458</v>
      </c>
      <c r="J708" s="22" t="n">
        <f aca="false">IFERROR(G708/F708,0)</f>
        <v>0.227997256515775</v>
      </c>
      <c r="K708" s="23" t="n">
        <f aca="false">MONTH(B708)</f>
        <v>10</v>
      </c>
    </row>
    <row r="709" customFormat="false" ht="15" hidden="false" customHeight="true" outlineLevel="0" collapsed="false">
      <c r="A709" s="18" t="s">
        <v>761</v>
      </c>
      <c r="B709" s="19" t="n">
        <v>45389</v>
      </c>
      <c r="C709" s="18" t="s">
        <v>41</v>
      </c>
      <c r="D709" s="18" t="s">
        <v>42</v>
      </c>
      <c r="E709" s="18" t="s">
        <v>21</v>
      </c>
      <c r="F709" s="20" t="n">
        <v>84028</v>
      </c>
      <c r="G709" s="20" t="n">
        <v>16133.38</v>
      </c>
      <c r="H709" s="18" t="n">
        <v>7</v>
      </c>
      <c r="I709" s="20" t="n">
        <f aca="false">F709</f>
        <v>84028</v>
      </c>
      <c r="J709" s="22" t="n">
        <f aca="false">IFERROR(G709/F709,0)</f>
        <v>0.19200004760318</v>
      </c>
      <c r="K709" s="23" t="n">
        <f aca="false">MONTH(B709)</f>
        <v>4</v>
      </c>
    </row>
    <row r="710" customFormat="false" ht="15" hidden="false" customHeight="true" outlineLevel="0" collapsed="false">
      <c r="A710" s="18" t="s">
        <v>762</v>
      </c>
      <c r="B710" s="19" t="n">
        <v>45605</v>
      </c>
      <c r="C710" s="18" t="s">
        <v>39</v>
      </c>
      <c r="D710" s="18" t="s">
        <v>75</v>
      </c>
      <c r="E710" s="18" t="s">
        <v>29</v>
      </c>
      <c r="F710" s="20" t="n">
        <v>12260</v>
      </c>
      <c r="G710" s="20" t="n">
        <v>2378.44</v>
      </c>
      <c r="H710" s="18" t="n">
        <v>10</v>
      </c>
      <c r="I710" s="20" t="n">
        <f aca="false">F710</f>
        <v>12260</v>
      </c>
      <c r="J710" s="22" t="n">
        <f aca="false">IFERROR(G710/F710,0)</f>
        <v>0.194</v>
      </c>
      <c r="K710" s="23" t="n">
        <f aca="false">MONTH(B710)</f>
        <v>11</v>
      </c>
    </row>
    <row r="711" customFormat="false" ht="15" hidden="false" customHeight="true" outlineLevel="0" collapsed="false">
      <c r="A711" s="18" t="s">
        <v>763</v>
      </c>
      <c r="B711" s="19" t="n">
        <v>45472</v>
      </c>
      <c r="C711" s="18" t="s">
        <v>39</v>
      </c>
      <c r="D711" s="18" t="s">
        <v>93</v>
      </c>
      <c r="E711" s="18" t="s">
        <v>32</v>
      </c>
      <c r="F711" s="20" t="n">
        <v>85500</v>
      </c>
      <c r="G711" s="20" t="n">
        <v>8379</v>
      </c>
      <c r="H711" s="18" t="n">
        <v>9</v>
      </c>
      <c r="I711" s="20" t="n">
        <f aca="false">F711</f>
        <v>85500</v>
      </c>
      <c r="J711" s="22" t="n">
        <f aca="false">IFERROR(G711/F711,0)</f>
        <v>0.098</v>
      </c>
      <c r="K711" s="23" t="n">
        <f aca="false">MONTH(B711)</f>
        <v>6</v>
      </c>
    </row>
    <row r="712" customFormat="false" ht="15" hidden="false" customHeight="true" outlineLevel="0" collapsed="false">
      <c r="A712" s="18" t="s">
        <v>764</v>
      </c>
      <c r="B712" s="19" t="n">
        <v>45532</v>
      </c>
      <c r="C712" s="18" t="s">
        <v>39</v>
      </c>
      <c r="D712" s="18" t="s">
        <v>58</v>
      </c>
      <c r="E712" s="18" t="s">
        <v>50</v>
      </c>
      <c r="F712" s="20" t="n">
        <v>860</v>
      </c>
      <c r="G712" s="20" t="n">
        <v>251.12</v>
      </c>
      <c r="H712" s="18" t="n">
        <v>10</v>
      </c>
      <c r="I712" s="20" t="n">
        <f aca="false">F712</f>
        <v>860</v>
      </c>
      <c r="J712" s="22" t="n">
        <f aca="false">IFERROR(G712/F712,0)</f>
        <v>0.292</v>
      </c>
      <c r="K712" s="23" t="n">
        <f aca="false">MONTH(B712)</f>
        <v>8</v>
      </c>
    </row>
    <row r="713" customFormat="false" ht="15" hidden="false" customHeight="true" outlineLevel="0" collapsed="false">
      <c r="A713" s="18" t="s">
        <v>765</v>
      </c>
      <c r="B713" s="19" t="n">
        <v>45449</v>
      </c>
      <c r="C713" s="18" t="s">
        <v>41</v>
      </c>
      <c r="D713" s="18" t="s">
        <v>42</v>
      </c>
      <c r="E713" s="18" t="s">
        <v>21</v>
      </c>
      <c r="F713" s="20" t="n">
        <v>96733</v>
      </c>
      <c r="G713" s="20" t="n">
        <v>12285.09</v>
      </c>
      <c r="H713" s="18" t="n">
        <v>7</v>
      </c>
      <c r="I713" s="20" t="n">
        <f aca="false">F713</f>
        <v>96733</v>
      </c>
      <c r="J713" s="22" t="n">
        <f aca="false">IFERROR(G713/F713,0)</f>
        <v>0.126999989662266</v>
      </c>
      <c r="K713" s="23" t="n">
        <f aca="false">MONTH(B713)</f>
        <v>6</v>
      </c>
    </row>
    <row r="714" customFormat="false" ht="15" hidden="false" customHeight="true" outlineLevel="0" collapsed="false">
      <c r="A714" s="18" t="s">
        <v>766</v>
      </c>
      <c r="B714" s="19" t="n">
        <v>45587</v>
      </c>
      <c r="C714" s="18" t="s">
        <v>19</v>
      </c>
      <c r="D714" s="18" t="s">
        <v>36</v>
      </c>
      <c r="E714" s="18" t="s">
        <v>25</v>
      </c>
      <c r="F714" s="20" t="n">
        <v>18417</v>
      </c>
      <c r="G714" s="20" t="n">
        <v>5911.86</v>
      </c>
      <c r="H714" s="18" t="n">
        <v>7</v>
      </c>
      <c r="I714" s="20" t="n">
        <f aca="false">F714</f>
        <v>18417</v>
      </c>
      <c r="J714" s="22" t="n">
        <f aca="false">IFERROR(G714/F714,0)</f>
        <v>0.321000162892979</v>
      </c>
      <c r="K714" s="23" t="n">
        <f aca="false">MONTH(B714)</f>
        <v>10</v>
      </c>
    </row>
    <row r="715" customFormat="false" ht="15" hidden="false" customHeight="true" outlineLevel="0" collapsed="false">
      <c r="A715" s="18" t="s">
        <v>767</v>
      </c>
      <c r="B715" s="19" t="n">
        <v>45316</v>
      </c>
      <c r="C715" s="18" t="s">
        <v>19</v>
      </c>
      <c r="D715" s="18" t="s">
        <v>83</v>
      </c>
      <c r="E715" s="18" t="s">
        <v>21</v>
      </c>
      <c r="F715" s="20" t="n">
        <v>17058</v>
      </c>
      <c r="G715" s="20" t="n">
        <v>3019.27</v>
      </c>
      <c r="H715" s="18" t="n">
        <v>2</v>
      </c>
      <c r="I715" s="20" t="n">
        <f aca="false">F715</f>
        <v>17058</v>
      </c>
      <c r="J715" s="22" t="n">
        <f aca="false">IFERROR(G715/F715,0)</f>
        <v>0.177000234494079</v>
      </c>
      <c r="K715" s="23" t="n">
        <f aca="false">MONTH(B715)</f>
        <v>1</v>
      </c>
    </row>
    <row r="716" customFormat="false" ht="15" hidden="false" customHeight="true" outlineLevel="0" collapsed="false">
      <c r="A716" s="18" t="s">
        <v>768</v>
      </c>
      <c r="B716" s="19" t="n">
        <v>45526</v>
      </c>
      <c r="C716" s="18" t="s">
        <v>19</v>
      </c>
      <c r="D716" s="18" t="s">
        <v>106</v>
      </c>
      <c r="E716" s="18" t="s">
        <v>25</v>
      </c>
      <c r="F716" s="20" t="n">
        <v>2571</v>
      </c>
      <c r="G716" s="20" t="n">
        <v>763.59</v>
      </c>
      <c r="H716" s="18" t="n">
        <v>3</v>
      </c>
      <c r="I716" s="20" t="n">
        <f aca="false">F716</f>
        <v>2571</v>
      </c>
      <c r="J716" s="22" t="n">
        <f aca="false">IFERROR(G716/F716,0)</f>
        <v>0.297001166861144</v>
      </c>
      <c r="K716" s="23" t="n">
        <f aca="false">MONTH(B716)</f>
        <v>8</v>
      </c>
    </row>
    <row r="717" customFormat="false" ht="15" hidden="false" customHeight="true" outlineLevel="0" collapsed="false">
      <c r="A717" s="18" t="s">
        <v>769</v>
      </c>
      <c r="B717" s="19" t="n">
        <v>45613</v>
      </c>
      <c r="C717" s="18" t="s">
        <v>39</v>
      </c>
      <c r="D717" s="18" t="s">
        <v>120</v>
      </c>
      <c r="E717" s="18" t="s">
        <v>29</v>
      </c>
      <c r="F717" s="20" t="n">
        <v>56190</v>
      </c>
      <c r="G717" s="20" t="n">
        <v>10732.29</v>
      </c>
      <c r="H717" s="18" t="n">
        <v>5</v>
      </c>
      <c r="I717" s="20" t="n">
        <f aca="false">F717</f>
        <v>56190</v>
      </c>
      <c r="J717" s="22" t="n">
        <f aca="false">IFERROR(G717/F717,0)</f>
        <v>0.191</v>
      </c>
      <c r="K717" s="23" t="n">
        <f aca="false">MONTH(B717)</f>
        <v>11</v>
      </c>
    </row>
    <row r="718" customFormat="false" ht="15" hidden="false" customHeight="true" outlineLevel="0" collapsed="false">
      <c r="A718" s="18" t="s">
        <v>770</v>
      </c>
      <c r="B718" s="19" t="n">
        <v>45553</v>
      </c>
      <c r="C718" s="18" t="s">
        <v>27</v>
      </c>
      <c r="D718" s="18" t="s">
        <v>24</v>
      </c>
      <c r="E718" s="18" t="s">
        <v>25</v>
      </c>
      <c r="F718" s="20" t="n">
        <v>5847</v>
      </c>
      <c r="G718" s="20" t="n">
        <v>976.45</v>
      </c>
      <c r="H718" s="18" t="n">
        <v>3</v>
      </c>
      <c r="I718" s="20" t="n">
        <f aca="false">F718</f>
        <v>5847</v>
      </c>
      <c r="J718" s="22" t="n">
        <f aca="false">IFERROR(G718/F718,0)</f>
        <v>0.167000171027878</v>
      </c>
      <c r="K718" s="23" t="n">
        <f aca="false">MONTH(B718)</f>
        <v>9</v>
      </c>
    </row>
    <row r="719" customFormat="false" ht="15" hidden="false" customHeight="true" outlineLevel="0" collapsed="false">
      <c r="A719" s="18" t="s">
        <v>771</v>
      </c>
      <c r="B719" s="19" t="n">
        <v>45606</v>
      </c>
      <c r="C719" s="18" t="s">
        <v>39</v>
      </c>
      <c r="D719" s="18" t="s">
        <v>24</v>
      </c>
      <c r="E719" s="18" t="s">
        <v>25</v>
      </c>
      <c r="F719" s="20" t="n">
        <v>3891</v>
      </c>
      <c r="G719" s="20" t="n">
        <v>1140.06</v>
      </c>
      <c r="H719" s="18" t="n">
        <v>3</v>
      </c>
      <c r="I719" s="20" t="n">
        <f aca="false">F719</f>
        <v>3891</v>
      </c>
      <c r="J719" s="22" t="n">
        <f aca="false">IFERROR(G719/F719,0)</f>
        <v>0.292999228989977</v>
      </c>
      <c r="K719" s="23" t="n">
        <f aca="false">MONTH(B719)</f>
        <v>11</v>
      </c>
    </row>
    <row r="720" customFormat="false" ht="15" hidden="false" customHeight="true" outlineLevel="0" collapsed="false">
      <c r="A720" s="18" t="s">
        <v>772</v>
      </c>
      <c r="B720" s="19" t="n">
        <v>45581</v>
      </c>
      <c r="C720" s="18" t="s">
        <v>23</v>
      </c>
      <c r="D720" s="18" t="s">
        <v>70</v>
      </c>
      <c r="E720" s="18" t="s">
        <v>21</v>
      </c>
      <c r="F720" s="20" t="n">
        <v>89676</v>
      </c>
      <c r="G720" s="20" t="n">
        <v>15872.65</v>
      </c>
      <c r="H720" s="18" t="n">
        <v>6</v>
      </c>
      <c r="I720" s="20" t="n">
        <f aca="false">F720</f>
        <v>89676</v>
      </c>
      <c r="J720" s="22" t="n">
        <f aca="false">IFERROR(G720/F720,0)</f>
        <v>0.176999977697489</v>
      </c>
      <c r="K720" s="23" t="n">
        <f aca="false">MONTH(B720)</f>
        <v>10</v>
      </c>
    </row>
    <row r="721" customFormat="false" ht="15" hidden="false" customHeight="true" outlineLevel="0" collapsed="false">
      <c r="A721" s="18" t="s">
        <v>773</v>
      </c>
      <c r="B721" s="19" t="n">
        <v>45499</v>
      </c>
      <c r="C721" s="18" t="s">
        <v>39</v>
      </c>
      <c r="D721" s="18" t="s">
        <v>62</v>
      </c>
      <c r="E721" s="18" t="s">
        <v>50</v>
      </c>
      <c r="F721" s="20" t="n">
        <v>597</v>
      </c>
      <c r="G721" s="20" t="n">
        <v>183.28</v>
      </c>
      <c r="H721" s="18" t="n">
        <v>3</v>
      </c>
      <c r="I721" s="20" t="n">
        <f aca="false">F721</f>
        <v>597</v>
      </c>
      <c r="J721" s="22" t="n">
        <f aca="false">IFERROR(G721/F721,0)</f>
        <v>0.307001675041876</v>
      </c>
      <c r="K721" s="23" t="n">
        <f aca="false">MONTH(B721)</f>
        <v>7</v>
      </c>
    </row>
    <row r="722" customFormat="false" ht="15" hidden="false" customHeight="true" outlineLevel="0" collapsed="false">
      <c r="A722" s="18" t="s">
        <v>774</v>
      </c>
      <c r="B722" s="19" t="n">
        <v>45602</v>
      </c>
      <c r="C722" s="18" t="s">
        <v>19</v>
      </c>
      <c r="D722" s="18" t="s">
        <v>62</v>
      </c>
      <c r="E722" s="18" t="s">
        <v>50</v>
      </c>
      <c r="F722" s="20" t="n">
        <v>1224</v>
      </c>
      <c r="G722" s="20" t="n">
        <v>410.04</v>
      </c>
      <c r="H722" s="18" t="n">
        <v>8</v>
      </c>
      <c r="I722" s="20" t="n">
        <f aca="false">F722</f>
        <v>1224</v>
      </c>
      <c r="J722" s="22" t="n">
        <f aca="false">IFERROR(G722/F722,0)</f>
        <v>0.335</v>
      </c>
      <c r="K722" s="23" t="n">
        <f aca="false">MONTH(B722)</f>
        <v>11</v>
      </c>
    </row>
    <row r="723" customFormat="false" ht="15" hidden="false" customHeight="true" outlineLevel="0" collapsed="false">
      <c r="A723" s="18" t="s">
        <v>775</v>
      </c>
      <c r="B723" s="19" t="n">
        <v>45363</v>
      </c>
      <c r="C723" s="18" t="s">
        <v>39</v>
      </c>
      <c r="D723" s="18" t="s">
        <v>20</v>
      </c>
      <c r="E723" s="18" t="s">
        <v>21</v>
      </c>
      <c r="F723" s="20" t="n">
        <v>12340</v>
      </c>
      <c r="G723" s="20" t="n">
        <v>2048.44</v>
      </c>
      <c r="H723" s="18" t="n">
        <v>1</v>
      </c>
      <c r="I723" s="20" t="n">
        <f aca="false">F723</f>
        <v>12340</v>
      </c>
      <c r="J723" s="22" t="n">
        <f aca="false">IFERROR(G723/F723,0)</f>
        <v>0.166</v>
      </c>
      <c r="K723" s="23" t="n">
        <f aca="false">MONTH(B723)</f>
        <v>3</v>
      </c>
    </row>
    <row r="724" customFormat="false" ht="15" hidden="false" customHeight="true" outlineLevel="0" collapsed="false">
      <c r="A724" s="18" t="s">
        <v>776</v>
      </c>
      <c r="B724" s="19" t="n">
        <v>45358</v>
      </c>
      <c r="C724" s="18" t="s">
        <v>27</v>
      </c>
      <c r="D724" s="18" t="s">
        <v>96</v>
      </c>
      <c r="E724" s="18" t="s">
        <v>50</v>
      </c>
      <c r="F724" s="20" t="n">
        <v>276</v>
      </c>
      <c r="G724" s="20" t="n">
        <v>77.83</v>
      </c>
      <c r="H724" s="18" t="n">
        <v>2</v>
      </c>
      <c r="I724" s="20" t="n">
        <f aca="false">F724</f>
        <v>276</v>
      </c>
      <c r="J724" s="22" t="n">
        <f aca="false">IFERROR(G724/F724,0)</f>
        <v>0.281992753623188</v>
      </c>
      <c r="K724" s="23" t="n">
        <f aca="false">MONTH(B724)</f>
        <v>3</v>
      </c>
    </row>
    <row r="725" customFormat="false" ht="15" hidden="false" customHeight="true" outlineLevel="0" collapsed="false">
      <c r="A725" s="18" t="s">
        <v>777</v>
      </c>
      <c r="B725" s="19" t="n">
        <v>45563</v>
      </c>
      <c r="C725" s="18" t="s">
        <v>41</v>
      </c>
      <c r="D725" s="18" t="s">
        <v>120</v>
      </c>
      <c r="E725" s="18" t="s">
        <v>29</v>
      </c>
      <c r="F725" s="20" t="n">
        <v>84030</v>
      </c>
      <c r="G725" s="20" t="n">
        <v>8571.06</v>
      </c>
      <c r="H725" s="18" t="n">
        <v>6</v>
      </c>
      <c r="I725" s="20" t="n">
        <f aca="false">F725</f>
        <v>84030</v>
      </c>
      <c r="J725" s="22" t="n">
        <f aca="false">IFERROR(G725/F725,0)</f>
        <v>0.102</v>
      </c>
      <c r="K725" s="23" t="n">
        <f aca="false">MONTH(B725)</f>
        <v>9</v>
      </c>
    </row>
    <row r="726" customFormat="false" ht="15" hidden="false" customHeight="true" outlineLevel="0" collapsed="false">
      <c r="A726" s="18" t="s">
        <v>778</v>
      </c>
      <c r="B726" s="19" t="n">
        <v>45610</v>
      </c>
      <c r="C726" s="18" t="s">
        <v>23</v>
      </c>
      <c r="D726" s="18" t="s">
        <v>52</v>
      </c>
      <c r="E726" s="18" t="s">
        <v>32</v>
      </c>
      <c r="F726" s="20" t="n">
        <v>10408</v>
      </c>
      <c r="G726" s="20" t="n">
        <v>1051.21</v>
      </c>
      <c r="H726" s="18" t="n">
        <v>2</v>
      </c>
      <c r="I726" s="20" t="n">
        <f aca="false">F726</f>
        <v>10408</v>
      </c>
      <c r="J726" s="22" t="n">
        <f aca="false">IFERROR(G726/F726,0)</f>
        <v>0.101000192159877</v>
      </c>
      <c r="K726" s="23" t="n">
        <f aca="false">MONTH(B726)</f>
        <v>11</v>
      </c>
    </row>
    <row r="727" customFormat="false" ht="15" hidden="false" customHeight="true" outlineLevel="0" collapsed="false">
      <c r="A727" s="18" t="s">
        <v>779</v>
      </c>
      <c r="B727" s="19" t="n">
        <v>45427</v>
      </c>
      <c r="C727" s="18" t="s">
        <v>39</v>
      </c>
      <c r="D727" s="18" t="s">
        <v>42</v>
      </c>
      <c r="E727" s="18" t="s">
        <v>21</v>
      </c>
      <c r="F727" s="20" t="n">
        <v>70716</v>
      </c>
      <c r="G727" s="20" t="n">
        <v>10748.83</v>
      </c>
      <c r="H727" s="18" t="n">
        <v>4</v>
      </c>
      <c r="I727" s="20" t="n">
        <f aca="false">F727</f>
        <v>70716</v>
      </c>
      <c r="J727" s="22" t="n">
        <f aca="false">IFERROR(G727/F727,0)</f>
        <v>0.151999971717857</v>
      </c>
      <c r="K727" s="23" t="n">
        <f aca="false">MONTH(B727)</f>
        <v>5</v>
      </c>
    </row>
    <row r="728" customFormat="false" ht="15" hidden="false" customHeight="true" outlineLevel="0" collapsed="false">
      <c r="A728" s="18" t="s">
        <v>780</v>
      </c>
      <c r="B728" s="19" t="n">
        <v>45347</v>
      </c>
      <c r="C728" s="18" t="s">
        <v>41</v>
      </c>
      <c r="D728" s="18" t="s">
        <v>20</v>
      </c>
      <c r="E728" s="18" t="s">
        <v>21</v>
      </c>
      <c r="F728" s="20" t="n">
        <v>153747</v>
      </c>
      <c r="G728" s="20" t="n">
        <v>36591.79</v>
      </c>
      <c r="H728" s="18" t="n">
        <v>9</v>
      </c>
      <c r="I728" s="20" t="n">
        <f aca="false">F728</f>
        <v>153747</v>
      </c>
      <c r="J728" s="22" t="n">
        <f aca="false">IFERROR(G728/F728,0)</f>
        <v>0.238000026016768</v>
      </c>
      <c r="K728" s="23" t="n">
        <f aca="false">MONTH(B728)</f>
        <v>2</v>
      </c>
    </row>
    <row r="729" customFormat="false" ht="15" hidden="false" customHeight="true" outlineLevel="0" collapsed="false">
      <c r="A729" s="18" t="s">
        <v>781</v>
      </c>
      <c r="B729" s="19" t="n">
        <v>45645</v>
      </c>
      <c r="C729" s="18" t="s">
        <v>39</v>
      </c>
      <c r="D729" s="18" t="s">
        <v>72</v>
      </c>
      <c r="E729" s="18" t="s">
        <v>29</v>
      </c>
      <c r="F729" s="20" t="n">
        <v>11049</v>
      </c>
      <c r="G729" s="20" t="n">
        <v>1745.74</v>
      </c>
      <c r="H729" s="18" t="n">
        <v>1</v>
      </c>
      <c r="I729" s="20" t="n">
        <f aca="false">F729</f>
        <v>11049</v>
      </c>
      <c r="J729" s="22" t="n">
        <f aca="false">IFERROR(G729/F729,0)</f>
        <v>0.157999818988144</v>
      </c>
      <c r="K729" s="23" t="n">
        <f aca="false">MONTH(B729)</f>
        <v>12</v>
      </c>
    </row>
    <row r="730" customFormat="false" ht="15" hidden="false" customHeight="true" outlineLevel="0" collapsed="false">
      <c r="A730" s="18" t="s">
        <v>782</v>
      </c>
      <c r="B730" s="19" t="n">
        <v>45558</v>
      </c>
      <c r="C730" s="18" t="s">
        <v>27</v>
      </c>
      <c r="D730" s="18" t="s">
        <v>75</v>
      </c>
      <c r="E730" s="18" t="s">
        <v>29</v>
      </c>
      <c r="F730" s="20" t="n">
        <v>7696</v>
      </c>
      <c r="G730" s="20" t="n">
        <v>1108.22</v>
      </c>
      <c r="H730" s="18" t="n">
        <v>4</v>
      </c>
      <c r="I730" s="20" t="n">
        <f aca="false">F730</f>
        <v>7696</v>
      </c>
      <c r="J730" s="22" t="n">
        <f aca="false">IFERROR(G730/F730,0)</f>
        <v>0.14399948024948</v>
      </c>
      <c r="K730" s="23" t="n">
        <f aca="false">MONTH(B730)</f>
        <v>9</v>
      </c>
    </row>
    <row r="731" customFormat="false" ht="15" hidden="false" customHeight="true" outlineLevel="0" collapsed="false">
      <c r="A731" s="18" t="s">
        <v>783</v>
      </c>
      <c r="B731" s="19" t="n">
        <v>45540</v>
      </c>
      <c r="C731" s="18" t="s">
        <v>41</v>
      </c>
      <c r="D731" s="18" t="s">
        <v>88</v>
      </c>
      <c r="E731" s="18" t="s">
        <v>50</v>
      </c>
      <c r="F731" s="20" t="n">
        <v>2352</v>
      </c>
      <c r="G731" s="20" t="n">
        <v>790.27</v>
      </c>
      <c r="H731" s="18" t="n">
        <v>6</v>
      </c>
      <c r="I731" s="20" t="n">
        <f aca="false">F731</f>
        <v>2352</v>
      </c>
      <c r="J731" s="22" t="n">
        <f aca="false">IFERROR(G731/F731,0)</f>
        <v>0.335999149659864</v>
      </c>
      <c r="K731" s="23" t="n">
        <f aca="false">MONTH(B731)</f>
        <v>9</v>
      </c>
    </row>
    <row r="732" customFormat="false" ht="15" hidden="false" customHeight="true" outlineLevel="0" collapsed="false">
      <c r="A732" s="18" t="s">
        <v>784</v>
      </c>
      <c r="B732" s="19" t="n">
        <v>45530</v>
      </c>
      <c r="C732" s="18" t="s">
        <v>19</v>
      </c>
      <c r="D732" s="18" t="s">
        <v>44</v>
      </c>
      <c r="E732" s="18" t="s">
        <v>32</v>
      </c>
      <c r="F732" s="20" t="n">
        <v>35112</v>
      </c>
      <c r="G732" s="20" t="n">
        <v>6039.26</v>
      </c>
      <c r="H732" s="18" t="n">
        <v>7</v>
      </c>
      <c r="I732" s="20" t="n">
        <f aca="false">F732</f>
        <v>35112</v>
      </c>
      <c r="J732" s="22" t="n">
        <f aca="false">IFERROR(G732/F732,0)</f>
        <v>0.171999886078833</v>
      </c>
      <c r="K732" s="23" t="n">
        <f aca="false">MONTH(B732)</f>
        <v>8</v>
      </c>
    </row>
    <row r="733" customFormat="false" ht="15" hidden="false" customHeight="true" outlineLevel="0" collapsed="false">
      <c r="A733" s="18" t="s">
        <v>785</v>
      </c>
      <c r="B733" s="19" t="n">
        <v>45574</v>
      </c>
      <c r="C733" s="18" t="s">
        <v>41</v>
      </c>
      <c r="D733" s="18" t="s">
        <v>72</v>
      </c>
      <c r="E733" s="18" t="s">
        <v>29</v>
      </c>
      <c r="F733" s="20" t="n">
        <v>45689</v>
      </c>
      <c r="G733" s="20" t="n">
        <v>5574.06</v>
      </c>
      <c r="H733" s="18" t="n">
        <v>7</v>
      </c>
      <c r="I733" s="20" t="n">
        <f aca="false">F733</f>
        <v>45689</v>
      </c>
      <c r="J733" s="22" t="n">
        <f aca="false">IFERROR(G733/F733,0)</f>
        <v>0.122000043774213</v>
      </c>
      <c r="K733" s="23" t="n">
        <f aca="false">MONTH(B733)</f>
        <v>10</v>
      </c>
    </row>
    <row r="734" customFormat="false" ht="15" hidden="false" customHeight="true" outlineLevel="0" collapsed="false">
      <c r="A734" s="18" t="s">
        <v>786</v>
      </c>
      <c r="B734" s="19" t="n">
        <v>45602</v>
      </c>
      <c r="C734" s="18" t="s">
        <v>39</v>
      </c>
      <c r="D734" s="18" t="s">
        <v>62</v>
      </c>
      <c r="E734" s="18" t="s">
        <v>50</v>
      </c>
      <c r="F734" s="20" t="n">
        <v>1309</v>
      </c>
      <c r="G734" s="20" t="n">
        <v>263.11</v>
      </c>
      <c r="H734" s="18" t="n">
        <v>7</v>
      </c>
      <c r="I734" s="20" t="n">
        <f aca="false">F734</f>
        <v>1309</v>
      </c>
      <c r="J734" s="22" t="n">
        <f aca="false">IFERROR(G734/F734,0)</f>
        <v>0.20100076394194</v>
      </c>
      <c r="K734" s="23" t="n">
        <f aca="false">MONTH(B734)</f>
        <v>11</v>
      </c>
    </row>
    <row r="735" customFormat="false" ht="15" hidden="false" customHeight="true" outlineLevel="0" collapsed="false">
      <c r="A735" s="18" t="s">
        <v>787</v>
      </c>
      <c r="B735" s="19" t="n">
        <v>45508</v>
      </c>
      <c r="C735" s="18" t="s">
        <v>41</v>
      </c>
      <c r="D735" s="18" t="s">
        <v>28</v>
      </c>
      <c r="E735" s="18" t="s">
        <v>29</v>
      </c>
      <c r="F735" s="20" t="n">
        <v>4414</v>
      </c>
      <c r="G735" s="20" t="n">
        <v>609.13</v>
      </c>
      <c r="H735" s="18" t="n">
        <v>2</v>
      </c>
      <c r="I735" s="20" t="n">
        <f aca="false">F735</f>
        <v>4414</v>
      </c>
      <c r="J735" s="22" t="n">
        <f aca="false">IFERROR(G735/F735,0)</f>
        <v>0.137999546896239</v>
      </c>
      <c r="K735" s="23" t="n">
        <f aca="false">MONTH(B735)</f>
        <v>8</v>
      </c>
    </row>
    <row r="736" customFormat="false" ht="15" hidden="false" customHeight="true" outlineLevel="0" collapsed="false">
      <c r="A736" s="18" t="s">
        <v>788</v>
      </c>
      <c r="B736" s="19" t="n">
        <v>45652</v>
      </c>
      <c r="C736" s="18" t="s">
        <v>41</v>
      </c>
      <c r="D736" s="18" t="s">
        <v>55</v>
      </c>
      <c r="E736" s="18" t="s">
        <v>32</v>
      </c>
      <c r="F736" s="20" t="n">
        <v>275796</v>
      </c>
      <c r="G736" s="20" t="n">
        <v>42196.79</v>
      </c>
      <c r="H736" s="18" t="n">
        <v>9</v>
      </c>
      <c r="I736" s="20" t="n">
        <f aca="false">F736</f>
        <v>275796</v>
      </c>
      <c r="J736" s="22" t="n">
        <f aca="false">IFERROR(G736/F736,0)</f>
        <v>0.153000007251737</v>
      </c>
      <c r="K736" s="23" t="n">
        <f aca="false">MONTH(B736)</f>
        <v>12</v>
      </c>
    </row>
    <row r="737" customFormat="false" ht="15" hidden="false" customHeight="true" outlineLevel="0" collapsed="false">
      <c r="A737" s="18" t="s">
        <v>789</v>
      </c>
      <c r="B737" s="19" t="n">
        <v>45634</v>
      </c>
      <c r="C737" s="18" t="s">
        <v>19</v>
      </c>
      <c r="D737" s="18" t="s">
        <v>55</v>
      </c>
      <c r="E737" s="18" t="s">
        <v>32</v>
      </c>
      <c r="F737" s="20" t="n">
        <v>103404</v>
      </c>
      <c r="G737" s="20" t="n">
        <v>12822.1</v>
      </c>
      <c r="H737" s="18" t="n">
        <v>7</v>
      </c>
      <c r="I737" s="20" t="n">
        <f aca="false">F737</f>
        <v>103404</v>
      </c>
      <c r="J737" s="22" t="n">
        <f aca="false">IFERROR(G737/F737,0)</f>
        <v>0.124000038683223</v>
      </c>
      <c r="K737" s="23" t="n">
        <f aca="false">MONTH(B737)</f>
        <v>12</v>
      </c>
    </row>
    <row r="738" customFormat="false" ht="15" hidden="false" customHeight="true" outlineLevel="0" collapsed="false">
      <c r="A738" s="18" t="s">
        <v>790</v>
      </c>
      <c r="B738" s="19" t="n">
        <v>45498</v>
      </c>
      <c r="C738" s="18" t="s">
        <v>39</v>
      </c>
      <c r="D738" s="18" t="s">
        <v>120</v>
      </c>
      <c r="E738" s="18" t="s">
        <v>29</v>
      </c>
      <c r="F738" s="20" t="n">
        <v>171540</v>
      </c>
      <c r="G738" s="20" t="n">
        <v>28990.26</v>
      </c>
      <c r="H738" s="18" t="n">
        <v>10</v>
      </c>
      <c r="I738" s="20" t="n">
        <f aca="false">F738</f>
        <v>171540</v>
      </c>
      <c r="J738" s="22" t="n">
        <f aca="false">IFERROR(G738/F738,0)</f>
        <v>0.169</v>
      </c>
      <c r="K738" s="23" t="n">
        <f aca="false">MONTH(B738)</f>
        <v>7</v>
      </c>
    </row>
    <row r="739" customFormat="false" ht="15" hidden="false" customHeight="true" outlineLevel="0" collapsed="false">
      <c r="A739" s="18" t="s">
        <v>791</v>
      </c>
      <c r="B739" s="19" t="n">
        <v>45472</v>
      </c>
      <c r="C739" s="18" t="s">
        <v>41</v>
      </c>
      <c r="D739" s="18" t="s">
        <v>46</v>
      </c>
      <c r="E739" s="18" t="s">
        <v>29</v>
      </c>
      <c r="F739" s="20" t="n">
        <v>62865</v>
      </c>
      <c r="G739" s="20" t="n">
        <v>7229.48</v>
      </c>
      <c r="H739" s="18" t="n">
        <v>9</v>
      </c>
      <c r="I739" s="20" t="n">
        <f aca="false">F739</f>
        <v>62865</v>
      </c>
      <c r="J739" s="22" t="n">
        <f aca="false">IFERROR(G739/F739,0)</f>
        <v>0.115000079535513</v>
      </c>
      <c r="K739" s="23" t="n">
        <f aca="false">MONTH(B739)</f>
        <v>6</v>
      </c>
    </row>
    <row r="740" customFormat="false" ht="15" hidden="false" customHeight="true" outlineLevel="0" collapsed="false">
      <c r="A740" s="18" t="s">
        <v>792</v>
      </c>
      <c r="B740" s="19" t="n">
        <v>45594</v>
      </c>
      <c r="C740" s="18" t="s">
        <v>27</v>
      </c>
      <c r="D740" s="18" t="s">
        <v>24</v>
      </c>
      <c r="E740" s="18" t="s">
        <v>25</v>
      </c>
      <c r="F740" s="20" t="n">
        <v>19890</v>
      </c>
      <c r="G740" s="20" t="n">
        <v>4733.82</v>
      </c>
      <c r="H740" s="18" t="n">
        <v>10</v>
      </c>
      <c r="I740" s="20" t="n">
        <f aca="false">F740</f>
        <v>19890</v>
      </c>
      <c r="J740" s="22" t="n">
        <f aca="false">IFERROR(G740/F740,0)</f>
        <v>0.238</v>
      </c>
      <c r="K740" s="23" t="n">
        <f aca="false">MONTH(B740)</f>
        <v>10</v>
      </c>
    </row>
    <row r="741" customFormat="false" ht="15" hidden="false" customHeight="true" outlineLevel="0" collapsed="false">
      <c r="A741" s="18" t="s">
        <v>793</v>
      </c>
      <c r="B741" s="19" t="n">
        <v>45435</v>
      </c>
      <c r="C741" s="18" t="s">
        <v>23</v>
      </c>
      <c r="D741" s="18" t="s">
        <v>106</v>
      </c>
      <c r="E741" s="18" t="s">
        <v>25</v>
      </c>
      <c r="F741" s="20" t="n">
        <v>4205</v>
      </c>
      <c r="G741" s="20" t="n">
        <v>1063.87</v>
      </c>
      <c r="H741" s="18" t="n">
        <v>5</v>
      </c>
      <c r="I741" s="20" t="n">
        <f aca="false">F741</f>
        <v>4205</v>
      </c>
      <c r="J741" s="22" t="n">
        <f aca="false">IFERROR(G741/F741,0)</f>
        <v>0.253001189060642</v>
      </c>
      <c r="K741" s="23" t="n">
        <f aca="false">MONTH(B741)</f>
        <v>5</v>
      </c>
    </row>
    <row r="742" customFormat="false" ht="15" hidden="false" customHeight="true" outlineLevel="0" collapsed="false">
      <c r="A742" s="18" t="s">
        <v>794</v>
      </c>
      <c r="B742" s="19" t="n">
        <v>45372</v>
      </c>
      <c r="C742" s="18" t="s">
        <v>27</v>
      </c>
      <c r="D742" s="18" t="s">
        <v>31</v>
      </c>
      <c r="E742" s="18" t="s">
        <v>32</v>
      </c>
      <c r="F742" s="20" t="n">
        <v>339030</v>
      </c>
      <c r="G742" s="20" t="n">
        <v>52888.68</v>
      </c>
      <c r="H742" s="18" t="n">
        <v>5</v>
      </c>
      <c r="I742" s="20" t="n">
        <f aca="false">F742</f>
        <v>339030</v>
      </c>
      <c r="J742" s="22" t="n">
        <f aca="false">IFERROR(G742/F742,0)</f>
        <v>0.156</v>
      </c>
      <c r="K742" s="23" t="n">
        <f aca="false">MONTH(B742)</f>
        <v>3</v>
      </c>
    </row>
    <row r="743" customFormat="false" ht="15" hidden="false" customHeight="true" outlineLevel="0" collapsed="false">
      <c r="A743" s="18" t="s">
        <v>795</v>
      </c>
      <c r="B743" s="19" t="n">
        <v>45586</v>
      </c>
      <c r="C743" s="18" t="s">
        <v>19</v>
      </c>
      <c r="D743" s="18" t="s">
        <v>106</v>
      </c>
      <c r="E743" s="18" t="s">
        <v>25</v>
      </c>
      <c r="F743" s="20" t="n">
        <v>18752</v>
      </c>
      <c r="G743" s="20" t="n">
        <v>4931.78</v>
      </c>
      <c r="H743" s="18" t="n">
        <v>8</v>
      </c>
      <c r="I743" s="20" t="n">
        <f aca="false">F743</f>
        <v>18752</v>
      </c>
      <c r="J743" s="22" t="n">
        <f aca="false">IFERROR(G743/F743,0)</f>
        <v>0.26300021331058</v>
      </c>
      <c r="K743" s="23" t="n">
        <f aca="false">MONTH(B743)</f>
        <v>10</v>
      </c>
    </row>
    <row r="744" customFormat="false" ht="15" hidden="false" customHeight="true" outlineLevel="0" collapsed="false">
      <c r="A744" s="18" t="s">
        <v>796</v>
      </c>
      <c r="B744" s="19" t="n">
        <v>45392</v>
      </c>
      <c r="C744" s="18" t="s">
        <v>39</v>
      </c>
      <c r="D744" s="18" t="s">
        <v>86</v>
      </c>
      <c r="E744" s="18" t="s">
        <v>21</v>
      </c>
      <c r="F744" s="20" t="n">
        <v>213016</v>
      </c>
      <c r="G744" s="20" t="n">
        <v>52827.97</v>
      </c>
      <c r="H744" s="18" t="n">
        <v>8</v>
      </c>
      <c r="I744" s="20" t="n">
        <f aca="false">F744</f>
        <v>213016</v>
      </c>
      <c r="J744" s="22" t="n">
        <f aca="false">IFERROR(G744/F744,0)</f>
        <v>0.248000009388966</v>
      </c>
      <c r="K744" s="23" t="n">
        <f aca="false">MONTH(B744)</f>
        <v>4</v>
      </c>
    </row>
    <row r="745" customFormat="false" ht="15" hidden="false" customHeight="true" outlineLevel="0" collapsed="false">
      <c r="A745" s="18" t="s">
        <v>797</v>
      </c>
      <c r="B745" s="19" t="n">
        <v>45406</v>
      </c>
      <c r="C745" s="18" t="s">
        <v>41</v>
      </c>
      <c r="D745" s="18" t="s">
        <v>36</v>
      </c>
      <c r="E745" s="18" t="s">
        <v>25</v>
      </c>
      <c r="F745" s="20" t="n">
        <v>3944</v>
      </c>
      <c r="G745" s="20" t="n">
        <v>958.39</v>
      </c>
      <c r="H745" s="18" t="n">
        <v>1</v>
      </c>
      <c r="I745" s="20" t="n">
        <f aca="false">F745</f>
        <v>3944</v>
      </c>
      <c r="J745" s="22" t="n">
        <f aca="false">IFERROR(G745/F745,0)</f>
        <v>0.242999492900609</v>
      </c>
      <c r="K745" s="23" t="n">
        <f aca="false">MONTH(B745)</f>
        <v>4</v>
      </c>
    </row>
    <row r="746" customFormat="false" ht="15" hidden="false" customHeight="true" outlineLevel="0" collapsed="false">
      <c r="A746" s="18" t="s">
        <v>798</v>
      </c>
      <c r="B746" s="19" t="n">
        <v>45332</v>
      </c>
      <c r="C746" s="18" t="s">
        <v>23</v>
      </c>
      <c r="D746" s="18" t="s">
        <v>64</v>
      </c>
      <c r="E746" s="18" t="s">
        <v>32</v>
      </c>
      <c r="F746" s="20" t="n">
        <v>253792</v>
      </c>
      <c r="G746" s="20" t="n">
        <v>35784.67</v>
      </c>
      <c r="H746" s="18" t="n">
        <v>7</v>
      </c>
      <c r="I746" s="20" t="n">
        <f aca="false">F746</f>
        <v>253792</v>
      </c>
      <c r="J746" s="22" t="n">
        <f aca="false">IFERROR(G746/F746,0)</f>
        <v>0.140999992119531</v>
      </c>
      <c r="K746" s="23" t="n">
        <f aca="false">MONTH(B746)</f>
        <v>2</v>
      </c>
    </row>
    <row r="747" customFormat="false" ht="15" hidden="false" customHeight="true" outlineLevel="0" collapsed="false">
      <c r="A747" s="18" t="s">
        <v>799</v>
      </c>
      <c r="B747" s="19" t="n">
        <v>45626</v>
      </c>
      <c r="C747" s="18" t="s">
        <v>39</v>
      </c>
      <c r="D747" s="18" t="s">
        <v>86</v>
      </c>
      <c r="E747" s="18" t="s">
        <v>21</v>
      </c>
      <c r="F747" s="20" t="n">
        <v>44473</v>
      </c>
      <c r="G747" s="20" t="n">
        <v>6848.84</v>
      </c>
      <c r="H747" s="18" t="n">
        <v>1</v>
      </c>
      <c r="I747" s="20" t="n">
        <f aca="false">F747</f>
        <v>44473</v>
      </c>
      <c r="J747" s="22" t="n">
        <f aca="false">IFERROR(G747/F747,0)</f>
        <v>0.153999955028894</v>
      </c>
      <c r="K747" s="23" t="n">
        <f aca="false">MONTH(B747)</f>
        <v>11</v>
      </c>
    </row>
    <row r="748" customFormat="false" ht="15" hidden="false" customHeight="true" outlineLevel="0" collapsed="false">
      <c r="A748" s="18" t="s">
        <v>800</v>
      </c>
      <c r="B748" s="19" t="n">
        <v>45493</v>
      </c>
      <c r="C748" s="18" t="s">
        <v>19</v>
      </c>
      <c r="D748" s="18" t="s">
        <v>70</v>
      </c>
      <c r="E748" s="18" t="s">
        <v>21</v>
      </c>
      <c r="F748" s="20" t="n">
        <v>151288</v>
      </c>
      <c r="G748" s="20" t="n">
        <v>22693.2</v>
      </c>
      <c r="H748" s="18" t="n">
        <v>8</v>
      </c>
      <c r="I748" s="20" t="n">
        <f aca="false">F748</f>
        <v>151288</v>
      </c>
      <c r="J748" s="22" t="n">
        <f aca="false">IFERROR(G748/F748,0)</f>
        <v>0.15</v>
      </c>
      <c r="K748" s="23" t="n">
        <f aca="false">MONTH(B748)</f>
        <v>7</v>
      </c>
    </row>
    <row r="749" customFormat="false" ht="15" hidden="false" customHeight="true" outlineLevel="0" collapsed="false">
      <c r="A749" s="18" t="s">
        <v>801</v>
      </c>
      <c r="B749" s="19" t="n">
        <v>45542</v>
      </c>
      <c r="C749" s="18" t="s">
        <v>23</v>
      </c>
      <c r="D749" s="18" t="s">
        <v>86</v>
      </c>
      <c r="E749" s="18" t="s">
        <v>21</v>
      </c>
      <c r="F749" s="20" t="n">
        <v>128720</v>
      </c>
      <c r="G749" s="20" t="n">
        <v>21624.96</v>
      </c>
      <c r="H749" s="18" t="n">
        <v>8</v>
      </c>
      <c r="I749" s="20" t="n">
        <f aca="false">F749</f>
        <v>128720</v>
      </c>
      <c r="J749" s="22" t="n">
        <f aca="false">IFERROR(G749/F749,0)</f>
        <v>0.168</v>
      </c>
      <c r="K749" s="23" t="n">
        <f aca="false">MONTH(B749)</f>
        <v>9</v>
      </c>
    </row>
    <row r="750" customFormat="false" ht="15" hidden="false" customHeight="true" outlineLevel="0" collapsed="false">
      <c r="A750" s="18" t="s">
        <v>802</v>
      </c>
      <c r="B750" s="19" t="n">
        <v>45634</v>
      </c>
      <c r="C750" s="18" t="s">
        <v>41</v>
      </c>
      <c r="D750" s="18" t="s">
        <v>36</v>
      </c>
      <c r="E750" s="18" t="s">
        <v>25</v>
      </c>
      <c r="F750" s="20" t="n">
        <v>4878</v>
      </c>
      <c r="G750" s="20" t="n">
        <v>863.41</v>
      </c>
      <c r="H750" s="18" t="n">
        <v>1</v>
      </c>
      <c r="I750" s="20" t="n">
        <f aca="false">F750</f>
        <v>4878</v>
      </c>
      <c r="J750" s="22" t="n">
        <f aca="false">IFERROR(G750/F750,0)</f>
        <v>0.1770008200082</v>
      </c>
      <c r="K750" s="23" t="n">
        <f aca="false">MONTH(B750)</f>
        <v>12</v>
      </c>
    </row>
    <row r="751" customFormat="false" ht="15" hidden="false" customHeight="true" outlineLevel="0" collapsed="false">
      <c r="A751" s="18" t="s">
        <v>803</v>
      </c>
      <c r="B751" s="19" t="n">
        <v>45482</v>
      </c>
      <c r="C751" s="18" t="s">
        <v>19</v>
      </c>
      <c r="D751" s="18" t="s">
        <v>88</v>
      </c>
      <c r="E751" s="18" t="s">
        <v>50</v>
      </c>
      <c r="F751" s="20" t="n">
        <v>1561</v>
      </c>
      <c r="G751" s="20" t="n">
        <v>524.5</v>
      </c>
      <c r="H751" s="18" t="n">
        <v>7</v>
      </c>
      <c r="I751" s="20" t="n">
        <f aca="false">F751</f>
        <v>1561</v>
      </c>
      <c r="J751" s="22" t="n">
        <f aca="false">IFERROR(G751/F751,0)</f>
        <v>0.336002562459962</v>
      </c>
      <c r="K751" s="23" t="n">
        <f aca="false">MONTH(B751)</f>
        <v>7</v>
      </c>
    </row>
    <row r="752" customFormat="false" ht="15" hidden="false" customHeight="true" outlineLevel="0" collapsed="false">
      <c r="A752" s="18" t="s">
        <v>804</v>
      </c>
      <c r="B752" s="19" t="n">
        <v>45428</v>
      </c>
      <c r="C752" s="18" t="s">
        <v>19</v>
      </c>
      <c r="D752" s="18" t="s">
        <v>86</v>
      </c>
      <c r="E752" s="18" t="s">
        <v>21</v>
      </c>
      <c r="F752" s="20" t="n">
        <v>525440</v>
      </c>
      <c r="G752" s="20" t="n">
        <v>63578.24</v>
      </c>
      <c r="H752" s="18" t="n">
        <v>10</v>
      </c>
      <c r="I752" s="20" t="n">
        <f aca="false">F752</f>
        <v>525440</v>
      </c>
      <c r="J752" s="22" t="n">
        <f aca="false">IFERROR(G752/F752,0)</f>
        <v>0.121</v>
      </c>
      <c r="K752" s="23" t="n">
        <f aca="false">MONTH(B752)</f>
        <v>5</v>
      </c>
    </row>
    <row r="753" customFormat="false" ht="15" hidden="false" customHeight="true" outlineLevel="0" collapsed="false">
      <c r="A753" s="18" t="s">
        <v>805</v>
      </c>
      <c r="B753" s="19" t="n">
        <v>45490</v>
      </c>
      <c r="C753" s="18" t="s">
        <v>39</v>
      </c>
      <c r="D753" s="18" t="s">
        <v>58</v>
      </c>
      <c r="E753" s="18" t="s">
        <v>50</v>
      </c>
      <c r="F753" s="20" t="n">
        <v>539</v>
      </c>
      <c r="G753" s="20" t="n">
        <v>127.74</v>
      </c>
      <c r="H753" s="18" t="n">
        <v>7</v>
      </c>
      <c r="I753" s="20" t="n">
        <f aca="false">F753</f>
        <v>539</v>
      </c>
      <c r="J753" s="22" t="n">
        <f aca="false">IFERROR(G753/F753,0)</f>
        <v>0.236994434137291</v>
      </c>
      <c r="K753" s="23" t="n">
        <f aca="false">MONTH(B753)</f>
        <v>7</v>
      </c>
    </row>
    <row r="754" customFormat="false" ht="15" hidden="false" customHeight="true" outlineLevel="0" collapsed="false">
      <c r="A754" s="18" t="s">
        <v>806</v>
      </c>
      <c r="B754" s="19" t="n">
        <v>45506</v>
      </c>
      <c r="C754" s="18" t="s">
        <v>39</v>
      </c>
      <c r="D754" s="18" t="s">
        <v>75</v>
      </c>
      <c r="E754" s="18" t="s">
        <v>29</v>
      </c>
      <c r="F754" s="20" t="n">
        <v>16380</v>
      </c>
      <c r="G754" s="20" t="n">
        <v>2669.94</v>
      </c>
      <c r="H754" s="18" t="n">
        <v>9</v>
      </c>
      <c r="I754" s="20" t="n">
        <f aca="false">F754</f>
        <v>16380</v>
      </c>
      <c r="J754" s="22" t="n">
        <f aca="false">IFERROR(G754/F754,0)</f>
        <v>0.163</v>
      </c>
      <c r="K754" s="23" t="n">
        <f aca="false">MONTH(B754)</f>
        <v>8</v>
      </c>
    </row>
    <row r="755" customFormat="false" ht="15" hidden="false" customHeight="true" outlineLevel="0" collapsed="false">
      <c r="A755" s="18" t="s">
        <v>807</v>
      </c>
      <c r="B755" s="19" t="n">
        <v>45575</v>
      </c>
      <c r="C755" s="18" t="s">
        <v>41</v>
      </c>
      <c r="D755" s="18" t="s">
        <v>62</v>
      </c>
      <c r="E755" s="18" t="s">
        <v>50</v>
      </c>
      <c r="F755" s="20" t="n">
        <v>880</v>
      </c>
      <c r="G755" s="20" t="n">
        <v>232.32</v>
      </c>
      <c r="H755" s="18" t="n">
        <v>10</v>
      </c>
      <c r="I755" s="20" t="n">
        <f aca="false">F755</f>
        <v>880</v>
      </c>
      <c r="J755" s="22" t="n">
        <f aca="false">IFERROR(G755/F755,0)</f>
        <v>0.264</v>
      </c>
      <c r="K755" s="23" t="n">
        <f aca="false">MONTH(B755)</f>
        <v>10</v>
      </c>
    </row>
    <row r="756" customFormat="false" ht="15" hidden="false" customHeight="true" outlineLevel="0" collapsed="false">
      <c r="A756" s="18" t="s">
        <v>808</v>
      </c>
      <c r="B756" s="19" t="n">
        <v>45596</v>
      </c>
      <c r="C756" s="18" t="s">
        <v>41</v>
      </c>
      <c r="D756" s="18" t="s">
        <v>34</v>
      </c>
      <c r="E756" s="18" t="s">
        <v>25</v>
      </c>
      <c r="F756" s="20" t="n">
        <v>680</v>
      </c>
      <c r="G756" s="20" t="n">
        <v>108.8</v>
      </c>
      <c r="H756" s="18" t="n">
        <v>2</v>
      </c>
      <c r="I756" s="20" t="n">
        <f aca="false">F756</f>
        <v>680</v>
      </c>
      <c r="J756" s="22" t="n">
        <f aca="false">IFERROR(G756/F756,0)</f>
        <v>0.16</v>
      </c>
      <c r="K756" s="23" t="n">
        <f aca="false">MONTH(B756)</f>
        <v>10</v>
      </c>
    </row>
    <row r="757" customFormat="false" ht="15" hidden="false" customHeight="true" outlineLevel="0" collapsed="false">
      <c r="A757" s="18" t="s">
        <v>809</v>
      </c>
      <c r="B757" s="19" t="n">
        <v>45342</v>
      </c>
      <c r="C757" s="18" t="s">
        <v>19</v>
      </c>
      <c r="D757" s="18" t="s">
        <v>24</v>
      </c>
      <c r="E757" s="18" t="s">
        <v>25</v>
      </c>
      <c r="F757" s="20" t="n">
        <v>2643</v>
      </c>
      <c r="G757" s="20" t="n">
        <v>417.59</v>
      </c>
      <c r="H757" s="18" t="n">
        <v>3</v>
      </c>
      <c r="I757" s="20" t="n">
        <f aca="false">F757</f>
        <v>2643</v>
      </c>
      <c r="J757" s="22" t="n">
        <f aca="false">IFERROR(G757/F757,0)</f>
        <v>0.157998486568294</v>
      </c>
      <c r="K757" s="23" t="n">
        <f aca="false">MONTH(B757)</f>
        <v>2</v>
      </c>
    </row>
    <row r="758" customFormat="false" ht="15" hidden="false" customHeight="true" outlineLevel="0" collapsed="false">
      <c r="A758" s="18" t="s">
        <v>810</v>
      </c>
      <c r="B758" s="19" t="n">
        <v>45521</v>
      </c>
      <c r="C758" s="18" t="s">
        <v>39</v>
      </c>
      <c r="D758" s="18" t="s">
        <v>44</v>
      </c>
      <c r="E758" s="18" t="s">
        <v>32</v>
      </c>
      <c r="F758" s="20" t="n">
        <v>9912</v>
      </c>
      <c r="G758" s="20" t="n">
        <v>921.82</v>
      </c>
      <c r="H758" s="18" t="n">
        <v>4</v>
      </c>
      <c r="I758" s="20" t="n">
        <f aca="false">F758</f>
        <v>9912</v>
      </c>
      <c r="J758" s="22" t="n">
        <f aca="false">IFERROR(G758/F758,0)</f>
        <v>0.093000403551251</v>
      </c>
      <c r="K758" s="23" t="n">
        <f aca="false">MONTH(B758)</f>
        <v>8</v>
      </c>
    </row>
    <row r="759" customFormat="false" ht="15" hidden="false" customHeight="true" outlineLevel="0" collapsed="false">
      <c r="A759" s="18" t="s">
        <v>811</v>
      </c>
      <c r="B759" s="19" t="n">
        <v>45373</v>
      </c>
      <c r="C759" s="18" t="s">
        <v>41</v>
      </c>
      <c r="D759" s="18" t="s">
        <v>93</v>
      </c>
      <c r="E759" s="18" t="s">
        <v>32</v>
      </c>
      <c r="F759" s="20" t="n">
        <v>126090</v>
      </c>
      <c r="G759" s="20" t="n">
        <v>19922.22</v>
      </c>
      <c r="H759" s="18" t="n">
        <v>10</v>
      </c>
      <c r="I759" s="20" t="n">
        <f aca="false">F759</f>
        <v>126090</v>
      </c>
      <c r="J759" s="22" t="n">
        <f aca="false">IFERROR(G759/F759,0)</f>
        <v>0.158</v>
      </c>
      <c r="K759" s="23" t="n">
        <f aca="false">MONTH(B759)</f>
        <v>3</v>
      </c>
    </row>
    <row r="760" customFormat="false" ht="15" hidden="false" customHeight="true" outlineLevel="0" collapsed="false">
      <c r="A760" s="18" t="s">
        <v>812</v>
      </c>
      <c r="B760" s="19" t="n">
        <v>45600</v>
      </c>
      <c r="C760" s="18" t="s">
        <v>27</v>
      </c>
      <c r="D760" s="18" t="s">
        <v>44</v>
      </c>
      <c r="E760" s="18" t="s">
        <v>32</v>
      </c>
      <c r="F760" s="20" t="n">
        <v>30232</v>
      </c>
      <c r="G760" s="20" t="n">
        <v>3779</v>
      </c>
      <c r="H760" s="18" t="n">
        <v>8</v>
      </c>
      <c r="I760" s="20" t="n">
        <f aca="false">F760</f>
        <v>30232</v>
      </c>
      <c r="J760" s="22" t="n">
        <f aca="false">IFERROR(G760/F760,0)</f>
        <v>0.125</v>
      </c>
      <c r="K760" s="23" t="n">
        <f aca="false">MONTH(B760)</f>
        <v>11</v>
      </c>
    </row>
    <row r="761" customFormat="false" ht="15" hidden="false" customHeight="true" outlineLevel="0" collapsed="false">
      <c r="A761" s="18" t="s">
        <v>813</v>
      </c>
      <c r="B761" s="19" t="n">
        <v>45574</v>
      </c>
      <c r="C761" s="18" t="s">
        <v>39</v>
      </c>
      <c r="D761" s="18" t="s">
        <v>49</v>
      </c>
      <c r="E761" s="18" t="s">
        <v>50</v>
      </c>
      <c r="F761" s="20" t="n">
        <v>392</v>
      </c>
      <c r="G761" s="20" t="n">
        <v>110.94</v>
      </c>
      <c r="H761" s="18" t="n">
        <v>8</v>
      </c>
      <c r="I761" s="20" t="n">
        <f aca="false">F761</f>
        <v>392</v>
      </c>
      <c r="J761" s="22" t="n">
        <f aca="false">IFERROR(G761/F761,0)</f>
        <v>0.283010204081633</v>
      </c>
      <c r="K761" s="23" t="n">
        <f aca="false">MONTH(B761)</f>
        <v>10</v>
      </c>
    </row>
    <row r="762" customFormat="false" ht="15" hidden="false" customHeight="true" outlineLevel="0" collapsed="false">
      <c r="A762" s="18" t="s">
        <v>814</v>
      </c>
      <c r="B762" s="19" t="n">
        <v>45306</v>
      </c>
      <c r="C762" s="18" t="s">
        <v>27</v>
      </c>
      <c r="D762" s="18" t="s">
        <v>52</v>
      </c>
      <c r="E762" s="18" t="s">
        <v>32</v>
      </c>
      <c r="F762" s="20" t="n">
        <v>6765</v>
      </c>
      <c r="G762" s="20" t="n">
        <v>798.27</v>
      </c>
      <c r="H762" s="18" t="n">
        <v>5</v>
      </c>
      <c r="I762" s="20" t="n">
        <f aca="false">F762</f>
        <v>6765</v>
      </c>
      <c r="J762" s="22" t="n">
        <f aca="false">IFERROR(G762/F762,0)</f>
        <v>0.118</v>
      </c>
      <c r="K762" s="23" t="n">
        <f aca="false">MONTH(B762)</f>
        <v>1</v>
      </c>
    </row>
    <row r="763" customFormat="false" ht="15" hidden="false" customHeight="true" outlineLevel="0" collapsed="false">
      <c r="A763" s="18" t="s">
        <v>815</v>
      </c>
      <c r="B763" s="19" t="n">
        <v>45555</v>
      </c>
      <c r="C763" s="18" t="s">
        <v>41</v>
      </c>
      <c r="D763" s="18" t="s">
        <v>34</v>
      </c>
      <c r="E763" s="18" t="s">
        <v>25</v>
      </c>
      <c r="F763" s="20" t="n">
        <v>11214</v>
      </c>
      <c r="G763" s="20" t="n">
        <v>2612.86</v>
      </c>
      <c r="H763" s="18" t="n">
        <v>9</v>
      </c>
      <c r="I763" s="20" t="n">
        <f aca="false">F763</f>
        <v>11214</v>
      </c>
      <c r="J763" s="22" t="n">
        <f aca="false">IFERROR(G763/F763,0)</f>
        <v>0.232999821651507</v>
      </c>
      <c r="K763" s="23" t="n">
        <f aca="false">MONTH(B763)</f>
        <v>9</v>
      </c>
    </row>
    <row r="764" customFormat="false" ht="15" hidden="false" customHeight="true" outlineLevel="0" collapsed="false">
      <c r="A764" s="18" t="s">
        <v>816</v>
      </c>
      <c r="B764" s="19" t="n">
        <v>45551</v>
      </c>
      <c r="C764" s="18" t="s">
        <v>19</v>
      </c>
      <c r="D764" s="18" t="s">
        <v>34</v>
      </c>
      <c r="E764" s="18" t="s">
        <v>25</v>
      </c>
      <c r="F764" s="20" t="n">
        <v>6776</v>
      </c>
      <c r="G764" s="20" t="n">
        <v>1558.48</v>
      </c>
      <c r="H764" s="18" t="n">
        <v>7</v>
      </c>
      <c r="I764" s="20" t="n">
        <f aca="false">F764</f>
        <v>6776</v>
      </c>
      <c r="J764" s="22" t="n">
        <f aca="false">IFERROR(G764/F764,0)</f>
        <v>0.23</v>
      </c>
      <c r="K764" s="23" t="n">
        <f aca="false">MONTH(B764)</f>
        <v>9</v>
      </c>
    </row>
    <row r="765" customFormat="false" ht="15" hidden="false" customHeight="true" outlineLevel="0" collapsed="false">
      <c r="A765" s="18" t="s">
        <v>817</v>
      </c>
      <c r="B765" s="19" t="n">
        <v>45390</v>
      </c>
      <c r="C765" s="18" t="s">
        <v>27</v>
      </c>
      <c r="D765" s="18" t="s">
        <v>70</v>
      </c>
      <c r="E765" s="18" t="s">
        <v>21</v>
      </c>
      <c r="F765" s="20" t="n">
        <v>191615</v>
      </c>
      <c r="G765" s="20" t="n">
        <v>24718.33</v>
      </c>
      <c r="H765" s="18" t="n">
        <v>5</v>
      </c>
      <c r="I765" s="20" t="n">
        <f aca="false">F765</f>
        <v>191615</v>
      </c>
      <c r="J765" s="22" t="n">
        <f aca="false">IFERROR(G765/F765,0)</f>
        <v>0.128999973906009</v>
      </c>
      <c r="K765" s="23" t="n">
        <f aca="false">MONTH(B765)</f>
        <v>4</v>
      </c>
    </row>
    <row r="766" customFormat="false" ht="15" hidden="false" customHeight="true" outlineLevel="0" collapsed="false">
      <c r="A766" s="18" t="s">
        <v>818</v>
      </c>
      <c r="B766" s="19" t="n">
        <v>45542</v>
      </c>
      <c r="C766" s="18" t="s">
        <v>41</v>
      </c>
      <c r="D766" s="18" t="s">
        <v>28</v>
      </c>
      <c r="E766" s="18" t="s">
        <v>29</v>
      </c>
      <c r="F766" s="20" t="n">
        <v>19640</v>
      </c>
      <c r="G766" s="20" t="n">
        <v>2847.8</v>
      </c>
      <c r="H766" s="18" t="n">
        <v>8</v>
      </c>
      <c r="I766" s="20" t="n">
        <f aca="false">F766</f>
        <v>19640</v>
      </c>
      <c r="J766" s="22" t="n">
        <f aca="false">IFERROR(G766/F766,0)</f>
        <v>0.145</v>
      </c>
      <c r="K766" s="23" t="n">
        <f aca="false">MONTH(B766)</f>
        <v>9</v>
      </c>
    </row>
    <row r="767" customFormat="false" ht="15" hidden="false" customHeight="true" outlineLevel="0" collapsed="false">
      <c r="A767" s="18" t="s">
        <v>819</v>
      </c>
      <c r="B767" s="19" t="n">
        <v>45404</v>
      </c>
      <c r="C767" s="18" t="s">
        <v>39</v>
      </c>
      <c r="D767" s="18" t="s">
        <v>24</v>
      </c>
      <c r="E767" s="18" t="s">
        <v>25</v>
      </c>
      <c r="F767" s="20" t="n">
        <v>8664</v>
      </c>
      <c r="G767" s="20" t="n">
        <v>2954.42</v>
      </c>
      <c r="H767" s="18" t="n">
        <v>6</v>
      </c>
      <c r="I767" s="20" t="n">
        <f aca="false">F767</f>
        <v>8664</v>
      </c>
      <c r="J767" s="22" t="n">
        <f aca="false">IFERROR(G767/F767,0)</f>
        <v>0.340999538319483</v>
      </c>
      <c r="K767" s="23" t="n">
        <f aca="false">MONTH(B767)</f>
        <v>4</v>
      </c>
    </row>
    <row r="768" customFormat="false" ht="15" hidden="false" customHeight="true" outlineLevel="0" collapsed="false">
      <c r="A768" s="18" t="s">
        <v>820</v>
      </c>
      <c r="B768" s="19" t="n">
        <v>45511</v>
      </c>
      <c r="C768" s="18" t="s">
        <v>19</v>
      </c>
      <c r="D768" s="18" t="s">
        <v>72</v>
      </c>
      <c r="E768" s="18" t="s">
        <v>29</v>
      </c>
      <c r="F768" s="20" t="n">
        <v>35655</v>
      </c>
      <c r="G768" s="20" t="n">
        <v>4135.98</v>
      </c>
      <c r="H768" s="18" t="n">
        <v>5</v>
      </c>
      <c r="I768" s="20" t="n">
        <f aca="false">F768</f>
        <v>35655</v>
      </c>
      <c r="J768" s="22" t="n">
        <f aca="false">IFERROR(G768/F768,0)</f>
        <v>0.116</v>
      </c>
      <c r="K768" s="23" t="n">
        <f aca="false">MONTH(B768)</f>
        <v>8</v>
      </c>
    </row>
    <row r="769" customFormat="false" ht="15" hidden="false" customHeight="true" outlineLevel="0" collapsed="false">
      <c r="A769" s="18" t="s">
        <v>821</v>
      </c>
      <c r="B769" s="19" t="n">
        <v>45402</v>
      </c>
      <c r="C769" s="18" t="s">
        <v>27</v>
      </c>
      <c r="D769" s="18" t="s">
        <v>120</v>
      </c>
      <c r="E769" s="18" t="s">
        <v>29</v>
      </c>
      <c r="F769" s="20" t="n">
        <v>111128</v>
      </c>
      <c r="G769" s="20" t="n">
        <v>13001.98</v>
      </c>
      <c r="H769" s="18" t="n">
        <v>8</v>
      </c>
      <c r="I769" s="20" t="n">
        <f aca="false">F769</f>
        <v>111128</v>
      </c>
      <c r="J769" s="22" t="n">
        <f aca="false">IFERROR(G769/F769,0)</f>
        <v>0.117000035994529</v>
      </c>
      <c r="K769" s="23" t="n">
        <f aca="false">MONTH(B769)</f>
        <v>4</v>
      </c>
    </row>
    <row r="770" customFormat="false" ht="15" hidden="false" customHeight="true" outlineLevel="0" collapsed="false">
      <c r="A770" s="18" t="s">
        <v>822</v>
      </c>
      <c r="B770" s="19" t="n">
        <v>45595</v>
      </c>
      <c r="C770" s="18" t="s">
        <v>23</v>
      </c>
      <c r="D770" s="18" t="s">
        <v>93</v>
      </c>
      <c r="E770" s="18" t="s">
        <v>32</v>
      </c>
      <c r="F770" s="20" t="n">
        <v>36876</v>
      </c>
      <c r="G770" s="20" t="n">
        <v>5236.39</v>
      </c>
      <c r="H770" s="18" t="n">
        <v>3</v>
      </c>
      <c r="I770" s="20" t="n">
        <f aca="false">F770</f>
        <v>36876</v>
      </c>
      <c r="J770" s="22" t="n">
        <f aca="false">IFERROR(G770/F770,0)</f>
        <v>0.141999945764183</v>
      </c>
      <c r="K770" s="23" t="n">
        <f aca="false">MONTH(B770)</f>
        <v>10</v>
      </c>
    </row>
    <row r="771" customFormat="false" ht="15" hidden="false" customHeight="true" outlineLevel="0" collapsed="false">
      <c r="A771" s="18" t="s">
        <v>823</v>
      </c>
      <c r="B771" s="19" t="n">
        <v>45317</v>
      </c>
      <c r="C771" s="18" t="s">
        <v>27</v>
      </c>
      <c r="D771" s="18" t="s">
        <v>46</v>
      </c>
      <c r="E771" s="18" t="s">
        <v>29</v>
      </c>
      <c r="F771" s="20" t="n">
        <v>103887</v>
      </c>
      <c r="G771" s="20" t="n">
        <v>11947.01</v>
      </c>
      <c r="H771" s="18" t="n">
        <v>9</v>
      </c>
      <c r="I771" s="20" t="n">
        <f aca="false">F771</f>
        <v>103887</v>
      </c>
      <c r="J771" s="22" t="n">
        <f aca="false">IFERROR(G771/F771,0)</f>
        <v>0.115000048129217</v>
      </c>
      <c r="K771" s="23" t="n">
        <f aca="false">MONTH(B771)</f>
        <v>1</v>
      </c>
    </row>
    <row r="772" customFormat="false" ht="15" hidden="false" customHeight="true" outlineLevel="0" collapsed="false">
      <c r="A772" s="18" t="s">
        <v>824</v>
      </c>
      <c r="B772" s="19" t="n">
        <v>45350</v>
      </c>
      <c r="C772" s="18" t="s">
        <v>27</v>
      </c>
      <c r="D772" s="18" t="s">
        <v>52</v>
      </c>
      <c r="E772" s="18" t="s">
        <v>32</v>
      </c>
      <c r="F772" s="20" t="n">
        <v>14646</v>
      </c>
      <c r="G772" s="20" t="n">
        <v>2533.76</v>
      </c>
      <c r="H772" s="18" t="n">
        <v>3</v>
      </c>
      <c r="I772" s="20" t="n">
        <f aca="false">F772</f>
        <v>14646</v>
      </c>
      <c r="J772" s="22" t="n">
        <f aca="false">IFERROR(G772/F772,0)</f>
        <v>0.173000136556056</v>
      </c>
      <c r="K772" s="23" t="n">
        <f aca="false">MONTH(B772)</f>
        <v>2</v>
      </c>
    </row>
    <row r="773" customFormat="false" ht="15" hidden="false" customHeight="true" outlineLevel="0" collapsed="false">
      <c r="A773" s="18" t="s">
        <v>825</v>
      </c>
      <c r="B773" s="19" t="n">
        <v>45342</v>
      </c>
      <c r="C773" s="18" t="s">
        <v>39</v>
      </c>
      <c r="D773" s="18" t="s">
        <v>75</v>
      </c>
      <c r="E773" s="18" t="s">
        <v>29</v>
      </c>
      <c r="F773" s="20" t="n">
        <v>7532</v>
      </c>
      <c r="G773" s="20" t="n">
        <v>1250.31</v>
      </c>
      <c r="H773" s="18" t="n">
        <v>4</v>
      </c>
      <c r="I773" s="20" t="n">
        <f aca="false">F773</f>
        <v>7532</v>
      </c>
      <c r="J773" s="22" t="n">
        <f aca="false">IFERROR(G773/F773,0)</f>
        <v>0.165999734466277</v>
      </c>
      <c r="K773" s="23" t="n">
        <f aca="false">MONTH(B773)</f>
        <v>2</v>
      </c>
    </row>
    <row r="774" customFormat="false" ht="15" hidden="false" customHeight="true" outlineLevel="0" collapsed="false">
      <c r="A774" s="18" t="s">
        <v>826</v>
      </c>
      <c r="B774" s="19" t="n">
        <v>45377</v>
      </c>
      <c r="C774" s="18" t="s">
        <v>27</v>
      </c>
      <c r="D774" s="18" t="s">
        <v>96</v>
      </c>
      <c r="E774" s="18" t="s">
        <v>50</v>
      </c>
      <c r="F774" s="20" t="n">
        <v>483</v>
      </c>
      <c r="G774" s="20" t="n">
        <v>149.25</v>
      </c>
      <c r="H774" s="18" t="n">
        <v>7</v>
      </c>
      <c r="I774" s="20" t="n">
        <f aca="false">F774</f>
        <v>483</v>
      </c>
      <c r="J774" s="22" t="n">
        <f aca="false">IFERROR(G774/F774,0)</f>
        <v>0.309006211180124</v>
      </c>
      <c r="K774" s="23" t="n">
        <f aca="false">MONTH(B774)</f>
        <v>3</v>
      </c>
    </row>
    <row r="775" customFormat="false" ht="15" hidden="false" customHeight="true" outlineLevel="0" collapsed="false">
      <c r="A775" s="18" t="s">
        <v>827</v>
      </c>
      <c r="B775" s="19" t="n">
        <v>45410</v>
      </c>
      <c r="C775" s="18" t="s">
        <v>41</v>
      </c>
      <c r="D775" s="18" t="s">
        <v>70</v>
      </c>
      <c r="E775" s="18" t="s">
        <v>21</v>
      </c>
      <c r="F775" s="20" t="n">
        <v>351980</v>
      </c>
      <c r="G775" s="20" t="n">
        <v>70396</v>
      </c>
      <c r="H775" s="18" t="n">
        <v>10</v>
      </c>
      <c r="I775" s="20" t="n">
        <f aca="false">F775</f>
        <v>351980</v>
      </c>
      <c r="J775" s="22" t="n">
        <f aca="false">IFERROR(G775/F775,0)</f>
        <v>0.2</v>
      </c>
      <c r="K775" s="23" t="n">
        <f aca="false">MONTH(B775)</f>
        <v>4</v>
      </c>
    </row>
    <row r="776" customFormat="false" ht="15" hidden="false" customHeight="true" outlineLevel="0" collapsed="false">
      <c r="A776" s="18" t="s">
        <v>828</v>
      </c>
      <c r="B776" s="19" t="n">
        <v>45482</v>
      </c>
      <c r="C776" s="18" t="s">
        <v>23</v>
      </c>
      <c r="D776" s="18" t="s">
        <v>52</v>
      </c>
      <c r="E776" s="18" t="s">
        <v>32</v>
      </c>
      <c r="F776" s="20" t="n">
        <v>69948</v>
      </c>
      <c r="G776" s="20" t="n">
        <v>6435.22</v>
      </c>
      <c r="H776" s="18" t="n">
        <v>9</v>
      </c>
      <c r="I776" s="20" t="n">
        <f aca="false">F776</f>
        <v>69948</v>
      </c>
      <c r="J776" s="22" t="n">
        <f aca="false">IFERROR(G776/F776,0)</f>
        <v>0.0920000571853377</v>
      </c>
      <c r="K776" s="23" t="n">
        <f aca="false">MONTH(B776)</f>
        <v>7</v>
      </c>
    </row>
    <row r="777" customFormat="false" ht="15" hidden="false" customHeight="true" outlineLevel="0" collapsed="false">
      <c r="A777" s="18" t="s">
        <v>829</v>
      </c>
      <c r="B777" s="19" t="n">
        <v>45487</v>
      </c>
      <c r="C777" s="18" t="s">
        <v>19</v>
      </c>
      <c r="D777" s="18" t="s">
        <v>46</v>
      </c>
      <c r="E777" s="18" t="s">
        <v>29</v>
      </c>
      <c r="F777" s="20" t="n">
        <v>51000</v>
      </c>
      <c r="G777" s="20" t="n">
        <v>7293</v>
      </c>
      <c r="H777" s="18" t="n">
        <v>10</v>
      </c>
      <c r="I777" s="20" t="n">
        <f aca="false">F777</f>
        <v>51000</v>
      </c>
      <c r="J777" s="22" t="n">
        <f aca="false">IFERROR(G777/F777,0)</f>
        <v>0.143</v>
      </c>
      <c r="K777" s="23" t="n">
        <f aca="false">MONTH(B777)</f>
        <v>7</v>
      </c>
    </row>
    <row r="778" customFormat="false" ht="15" hidden="false" customHeight="true" outlineLevel="0" collapsed="false">
      <c r="A778" s="18" t="s">
        <v>830</v>
      </c>
      <c r="B778" s="19" t="n">
        <v>45525</v>
      </c>
      <c r="C778" s="18" t="s">
        <v>19</v>
      </c>
      <c r="D778" s="18" t="s">
        <v>64</v>
      </c>
      <c r="E778" s="18" t="s">
        <v>32</v>
      </c>
      <c r="F778" s="20" t="n">
        <v>517940</v>
      </c>
      <c r="G778" s="20" t="n">
        <v>76137.18</v>
      </c>
      <c r="H778" s="18" t="n">
        <v>10</v>
      </c>
      <c r="I778" s="20" t="n">
        <f aca="false">F778</f>
        <v>517940</v>
      </c>
      <c r="J778" s="22" t="n">
        <f aca="false">IFERROR(G778/F778,0)</f>
        <v>0.147</v>
      </c>
      <c r="K778" s="23" t="n">
        <f aca="false">MONTH(B778)</f>
        <v>8</v>
      </c>
    </row>
    <row r="779" customFormat="false" ht="15" hidden="false" customHeight="true" outlineLevel="0" collapsed="false">
      <c r="A779" s="18" t="s">
        <v>831</v>
      </c>
      <c r="B779" s="19" t="n">
        <v>45456</v>
      </c>
      <c r="C779" s="18" t="s">
        <v>39</v>
      </c>
      <c r="D779" s="18" t="s">
        <v>70</v>
      </c>
      <c r="E779" s="18" t="s">
        <v>21</v>
      </c>
      <c r="F779" s="20" t="n">
        <v>58245</v>
      </c>
      <c r="G779" s="20" t="n">
        <v>10833.57</v>
      </c>
      <c r="H779" s="18" t="n">
        <v>5</v>
      </c>
      <c r="I779" s="20" t="n">
        <f aca="false">F779</f>
        <v>58245</v>
      </c>
      <c r="J779" s="22" t="n">
        <f aca="false">IFERROR(G779/F779,0)</f>
        <v>0.186</v>
      </c>
      <c r="K779" s="23" t="n">
        <f aca="false">MONTH(B779)</f>
        <v>6</v>
      </c>
    </row>
    <row r="780" customFormat="false" ht="15" hidden="false" customHeight="true" outlineLevel="0" collapsed="false">
      <c r="A780" s="18" t="s">
        <v>832</v>
      </c>
      <c r="B780" s="19" t="n">
        <v>45612</v>
      </c>
      <c r="C780" s="18" t="s">
        <v>23</v>
      </c>
      <c r="D780" s="18" t="s">
        <v>34</v>
      </c>
      <c r="E780" s="18" t="s">
        <v>25</v>
      </c>
      <c r="F780" s="20" t="n">
        <v>6520</v>
      </c>
      <c r="G780" s="20" t="n">
        <v>2008.16</v>
      </c>
      <c r="H780" s="18" t="n">
        <v>5</v>
      </c>
      <c r="I780" s="20" t="n">
        <f aca="false">F780</f>
        <v>6520</v>
      </c>
      <c r="J780" s="22" t="n">
        <f aca="false">IFERROR(G780/F780,0)</f>
        <v>0.308</v>
      </c>
      <c r="K780" s="23" t="n">
        <f aca="false">MONTH(B780)</f>
        <v>11</v>
      </c>
    </row>
    <row r="781" customFormat="false" ht="15" hidden="false" customHeight="true" outlineLevel="0" collapsed="false">
      <c r="A781" s="18" t="s">
        <v>833</v>
      </c>
      <c r="B781" s="19" t="n">
        <v>45508</v>
      </c>
      <c r="C781" s="18" t="s">
        <v>27</v>
      </c>
      <c r="D781" s="18" t="s">
        <v>55</v>
      </c>
      <c r="E781" s="18" t="s">
        <v>32</v>
      </c>
      <c r="F781" s="20" t="n">
        <v>347256</v>
      </c>
      <c r="G781" s="20" t="n">
        <v>47921.33</v>
      </c>
      <c r="H781" s="18" t="n">
        <v>8</v>
      </c>
      <c r="I781" s="20" t="n">
        <f aca="false">F781</f>
        <v>347256</v>
      </c>
      <c r="J781" s="22" t="n">
        <f aca="false">IFERROR(G781/F781,0)</f>
        <v>0.13800000575944</v>
      </c>
      <c r="K781" s="23" t="n">
        <f aca="false">MONTH(B781)</f>
        <v>8</v>
      </c>
    </row>
    <row r="782" customFormat="false" ht="15" hidden="false" customHeight="true" outlineLevel="0" collapsed="false">
      <c r="A782" s="18" t="s">
        <v>834</v>
      </c>
      <c r="B782" s="19" t="n">
        <v>45647</v>
      </c>
      <c r="C782" s="18" t="s">
        <v>39</v>
      </c>
      <c r="D782" s="18" t="s">
        <v>28</v>
      </c>
      <c r="E782" s="18" t="s">
        <v>29</v>
      </c>
      <c r="F782" s="20" t="n">
        <v>37982</v>
      </c>
      <c r="G782" s="20" t="n">
        <v>6077.12</v>
      </c>
      <c r="H782" s="18" t="n">
        <v>7</v>
      </c>
      <c r="I782" s="20" t="n">
        <f aca="false">F782</f>
        <v>37982</v>
      </c>
      <c r="J782" s="22" t="n">
        <f aca="false">IFERROR(G782/F782,0)</f>
        <v>0.16</v>
      </c>
      <c r="K782" s="23" t="n">
        <f aca="false">MONTH(B782)</f>
        <v>12</v>
      </c>
    </row>
    <row r="783" customFormat="false" ht="15" hidden="false" customHeight="true" outlineLevel="0" collapsed="false">
      <c r="A783" s="18" t="s">
        <v>835</v>
      </c>
      <c r="B783" s="19" t="n">
        <v>45596</v>
      </c>
      <c r="C783" s="18" t="s">
        <v>27</v>
      </c>
      <c r="D783" s="18" t="s">
        <v>44</v>
      </c>
      <c r="E783" s="18" t="s">
        <v>32</v>
      </c>
      <c r="F783" s="20" t="n">
        <v>45656</v>
      </c>
      <c r="G783" s="20" t="n">
        <v>6163.56</v>
      </c>
      <c r="H783" s="18" t="n">
        <v>8</v>
      </c>
      <c r="I783" s="20" t="n">
        <f aca="false">F783</f>
        <v>45656</v>
      </c>
      <c r="J783" s="22" t="n">
        <f aca="false">IFERROR(G783/F783,0)</f>
        <v>0.135</v>
      </c>
      <c r="K783" s="23" t="n">
        <f aca="false">MONTH(B783)</f>
        <v>10</v>
      </c>
    </row>
    <row r="784" customFormat="false" ht="15" hidden="false" customHeight="true" outlineLevel="0" collapsed="false">
      <c r="A784" s="18" t="s">
        <v>836</v>
      </c>
      <c r="B784" s="19" t="n">
        <v>45329</v>
      </c>
      <c r="C784" s="18" t="s">
        <v>27</v>
      </c>
      <c r="D784" s="18" t="s">
        <v>44</v>
      </c>
      <c r="E784" s="18" t="s">
        <v>32</v>
      </c>
      <c r="F784" s="20" t="n">
        <v>12952</v>
      </c>
      <c r="G784" s="20" t="n">
        <v>2085.27</v>
      </c>
      <c r="H784" s="18" t="n">
        <v>8</v>
      </c>
      <c r="I784" s="20" t="n">
        <f aca="false">F784</f>
        <v>12952</v>
      </c>
      <c r="J784" s="22" t="n">
        <f aca="false">IFERROR(G784/F784,0)</f>
        <v>0.160999845583694</v>
      </c>
      <c r="K784" s="23" t="n">
        <f aca="false">MONTH(B784)</f>
        <v>2</v>
      </c>
    </row>
    <row r="785" customFormat="false" ht="15" hidden="false" customHeight="true" outlineLevel="0" collapsed="false">
      <c r="A785" s="18" t="s">
        <v>837</v>
      </c>
      <c r="B785" s="19" t="n">
        <v>45439</v>
      </c>
      <c r="C785" s="18" t="s">
        <v>41</v>
      </c>
      <c r="D785" s="18" t="s">
        <v>88</v>
      </c>
      <c r="E785" s="18" t="s">
        <v>50</v>
      </c>
      <c r="F785" s="20" t="n">
        <v>2520</v>
      </c>
      <c r="G785" s="20" t="n">
        <v>889.56</v>
      </c>
      <c r="H785" s="18" t="n">
        <v>9</v>
      </c>
      <c r="I785" s="20" t="n">
        <f aca="false">F785</f>
        <v>2520</v>
      </c>
      <c r="J785" s="22" t="n">
        <f aca="false">IFERROR(G785/F785,0)</f>
        <v>0.353</v>
      </c>
      <c r="K785" s="23" t="n">
        <f aca="false">MONTH(B785)</f>
        <v>5</v>
      </c>
    </row>
    <row r="786" customFormat="false" ht="15" hidden="false" customHeight="true" outlineLevel="0" collapsed="false">
      <c r="A786" s="18" t="s">
        <v>838</v>
      </c>
      <c r="B786" s="19" t="n">
        <v>45436</v>
      </c>
      <c r="C786" s="18" t="s">
        <v>27</v>
      </c>
      <c r="D786" s="18" t="s">
        <v>28</v>
      </c>
      <c r="E786" s="18" t="s">
        <v>29</v>
      </c>
      <c r="F786" s="20" t="n">
        <v>48861</v>
      </c>
      <c r="G786" s="20" t="n">
        <v>9625.62</v>
      </c>
      <c r="H786" s="18" t="n">
        <v>9</v>
      </c>
      <c r="I786" s="20" t="n">
        <f aca="false">F786</f>
        <v>48861</v>
      </c>
      <c r="J786" s="22" t="n">
        <f aca="false">IFERROR(G786/F786,0)</f>
        <v>0.197000061398662</v>
      </c>
      <c r="K786" s="23" t="n">
        <f aca="false">MONTH(B786)</f>
        <v>5</v>
      </c>
    </row>
    <row r="787" customFormat="false" ht="15" hidden="false" customHeight="true" outlineLevel="0" collapsed="false">
      <c r="A787" s="18" t="s">
        <v>839</v>
      </c>
      <c r="B787" s="19" t="n">
        <v>45624</v>
      </c>
      <c r="C787" s="18" t="s">
        <v>41</v>
      </c>
      <c r="D787" s="18" t="s">
        <v>52</v>
      </c>
      <c r="E787" s="18" t="s">
        <v>32</v>
      </c>
      <c r="F787" s="20" t="n">
        <v>26700</v>
      </c>
      <c r="G787" s="20" t="n">
        <v>2776.8</v>
      </c>
      <c r="H787" s="18" t="n">
        <v>6</v>
      </c>
      <c r="I787" s="20" t="n">
        <f aca="false">F787</f>
        <v>26700</v>
      </c>
      <c r="J787" s="22" t="n">
        <f aca="false">IFERROR(G787/F787,0)</f>
        <v>0.104</v>
      </c>
      <c r="K787" s="23" t="n">
        <f aca="false">MONTH(B787)</f>
        <v>11</v>
      </c>
    </row>
    <row r="788" customFormat="false" ht="15" hidden="false" customHeight="true" outlineLevel="0" collapsed="false">
      <c r="A788" s="18" t="s">
        <v>841</v>
      </c>
      <c r="B788" s="19" t="n">
        <v>45432</v>
      </c>
      <c r="C788" s="18" t="s">
        <v>41</v>
      </c>
      <c r="D788" s="18" t="s">
        <v>75</v>
      </c>
      <c r="E788" s="18" t="s">
        <v>29</v>
      </c>
      <c r="F788" s="20" t="n">
        <v>10950</v>
      </c>
      <c r="G788" s="20" t="n">
        <v>1182.6</v>
      </c>
      <c r="H788" s="18" t="n">
        <v>6</v>
      </c>
      <c r="I788" s="20" t="n">
        <f aca="false">F788</f>
        <v>10950</v>
      </c>
      <c r="J788" s="22" t="n">
        <f aca="false">IFERROR(G788/F788,0)</f>
        <v>0.108</v>
      </c>
      <c r="K788" s="23" t="n">
        <f aca="false">MONTH(B788)</f>
        <v>5</v>
      </c>
    </row>
    <row r="789" customFormat="false" ht="15" hidden="false" customHeight="true" outlineLevel="0" collapsed="false">
      <c r="A789" s="18" t="s">
        <v>842</v>
      </c>
      <c r="B789" s="19" t="n">
        <v>45593</v>
      </c>
      <c r="C789" s="18" t="s">
        <v>39</v>
      </c>
      <c r="D789" s="18" t="s">
        <v>72</v>
      </c>
      <c r="E789" s="18" t="s">
        <v>29</v>
      </c>
      <c r="F789" s="20" t="n">
        <v>11342</v>
      </c>
      <c r="G789" s="20" t="n">
        <v>2064.24</v>
      </c>
      <c r="H789" s="18" t="n">
        <v>1</v>
      </c>
      <c r="I789" s="20" t="n">
        <f aca="false">F789</f>
        <v>11342</v>
      </c>
      <c r="J789" s="22" t="n">
        <f aca="false">IFERROR(G789/F789,0)</f>
        <v>0.181999647328513</v>
      </c>
      <c r="K789" s="23" t="n">
        <f aca="false">MONTH(B789)</f>
        <v>10</v>
      </c>
    </row>
    <row r="790" customFormat="false" ht="15" hidden="false" customHeight="true" outlineLevel="0" collapsed="false">
      <c r="A790" s="18" t="s">
        <v>843</v>
      </c>
      <c r="B790" s="19" t="n">
        <v>45506</v>
      </c>
      <c r="C790" s="18" t="s">
        <v>23</v>
      </c>
      <c r="D790" s="18" t="s">
        <v>34</v>
      </c>
      <c r="E790" s="18" t="s">
        <v>25</v>
      </c>
      <c r="F790" s="20" t="n">
        <v>11776</v>
      </c>
      <c r="G790" s="20" t="n">
        <v>3838.98</v>
      </c>
      <c r="H790" s="18" t="n">
        <v>8</v>
      </c>
      <c r="I790" s="20" t="n">
        <f aca="false">F790</f>
        <v>11776</v>
      </c>
      <c r="J790" s="22" t="n">
        <f aca="false">IFERROR(G790/F790,0)</f>
        <v>0.326000339673913</v>
      </c>
      <c r="K790" s="23" t="n">
        <f aca="false">MONTH(B790)</f>
        <v>8</v>
      </c>
    </row>
    <row r="791" customFormat="false" ht="15" hidden="false" customHeight="true" outlineLevel="0" collapsed="false">
      <c r="A791" s="18" t="s">
        <v>844</v>
      </c>
      <c r="B791" s="19" t="n">
        <v>45374</v>
      </c>
      <c r="C791" s="18" t="s">
        <v>41</v>
      </c>
      <c r="D791" s="18" t="s">
        <v>20</v>
      </c>
      <c r="E791" s="18" t="s">
        <v>21</v>
      </c>
      <c r="F791" s="20" t="n">
        <v>86058</v>
      </c>
      <c r="G791" s="20" t="n">
        <v>19104.88</v>
      </c>
      <c r="H791" s="18" t="n">
        <v>9</v>
      </c>
      <c r="I791" s="20" t="n">
        <f aca="false">F791</f>
        <v>86058</v>
      </c>
      <c r="J791" s="22" t="n">
        <f aca="false">IFERROR(G791/F791,0)</f>
        <v>0.222000046480281</v>
      </c>
      <c r="K791" s="23" t="n">
        <f aca="false">MONTH(B791)</f>
        <v>3</v>
      </c>
    </row>
    <row r="792" customFormat="false" ht="15" hidden="false" customHeight="true" outlineLevel="0" collapsed="false">
      <c r="A792" s="18" t="s">
        <v>845</v>
      </c>
      <c r="B792" s="19" t="n">
        <v>45575</v>
      </c>
      <c r="C792" s="18" t="s">
        <v>27</v>
      </c>
      <c r="D792" s="18" t="s">
        <v>31</v>
      </c>
      <c r="E792" s="18" t="s">
        <v>32</v>
      </c>
      <c r="F792" s="20" t="n">
        <v>288906</v>
      </c>
      <c r="G792" s="20" t="n">
        <v>31490.75</v>
      </c>
      <c r="H792" s="18" t="n">
        <v>6</v>
      </c>
      <c r="I792" s="20" t="n">
        <f aca="false">F792</f>
        <v>288906</v>
      </c>
      <c r="J792" s="22" t="n">
        <f aca="false">IFERROR(G792/F792,0)</f>
        <v>0.108999986154666</v>
      </c>
      <c r="K792" s="23" t="n">
        <f aca="false">MONTH(B792)</f>
        <v>10</v>
      </c>
    </row>
    <row r="793" customFormat="false" ht="15" hidden="false" customHeight="true" outlineLevel="0" collapsed="false">
      <c r="A793" s="18" t="s">
        <v>846</v>
      </c>
      <c r="B793" s="19" t="n">
        <v>45359</v>
      </c>
      <c r="C793" s="18" t="s">
        <v>23</v>
      </c>
      <c r="D793" s="18" t="s">
        <v>58</v>
      </c>
      <c r="E793" s="18" t="s">
        <v>50</v>
      </c>
      <c r="F793" s="20" t="n">
        <v>846</v>
      </c>
      <c r="G793" s="20" t="n">
        <v>324.02</v>
      </c>
      <c r="H793" s="18" t="n">
        <v>9</v>
      </c>
      <c r="I793" s="20" t="n">
        <f aca="false">F793</f>
        <v>846</v>
      </c>
      <c r="J793" s="22" t="n">
        <f aca="false">IFERROR(G793/F793,0)</f>
        <v>0.383002364066194</v>
      </c>
      <c r="K793" s="23" t="n">
        <f aca="false">MONTH(B793)</f>
        <v>3</v>
      </c>
    </row>
    <row r="794" customFormat="false" ht="15" hidden="false" customHeight="true" outlineLevel="0" collapsed="false">
      <c r="A794" s="18" t="s">
        <v>847</v>
      </c>
      <c r="B794" s="19" t="n">
        <v>45570</v>
      </c>
      <c r="C794" s="18" t="s">
        <v>41</v>
      </c>
      <c r="D794" s="18" t="s">
        <v>88</v>
      </c>
      <c r="E794" s="18" t="s">
        <v>50</v>
      </c>
      <c r="F794" s="20" t="n">
        <v>1770</v>
      </c>
      <c r="G794" s="20" t="n">
        <v>546.93</v>
      </c>
      <c r="H794" s="18" t="n">
        <v>6</v>
      </c>
      <c r="I794" s="20" t="n">
        <f aca="false">F794</f>
        <v>1770</v>
      </c>
      <c r="J794" s="22" t="n">
        <f aca="false">IFERROR(G794/F794,0)</f>
        <v>0.309</v>
      </c>
      <c r="K794" s="23" t="n">
        <f aca="false">MONTH(B794)</f>
        <v>10</v>
      </c>
    </row>
    <row r="795" customFormat="false" ht="15" hidden="false" customHeight="true" outlineLevel="0" collapsed="false">
      <c r="A795" s="18" t="s">
        <v>848</v>
      </c>
      <c r="B795" s="19" t="n">
        <v>45655</v>
      </c>
      <c r="C795" s="18" t="s">
        <v>19</v>
      </c>
      <c r="D795" s="18" t="s">
        <v>49</v>
      </c>
      <c r="E795" s="18" t="s">
        <v>50</v>
      </c>
      <c r="F795" s="20" t="n">
        <v>448</v>
      </c>
      <c r="G795" s="20" t="n">
        <v>130.82</v>
      </c>
      <c r="H795" s="18" t="n">
        <v>7</v>
      </c>
      <c r="I795" s="20" t="n">
        <f aca="false">F795</f>
        <v>448</v>
      </c>
      <c r="J795" s="22" t="n">
        <f aca="false">IFERROR(G795/F795,0)</f>
        <v>0.292008928571429</v>
      </c>
      <c r="K795" s="23" t="n">
        <f aca="false">MONTH(B795)</f>
        <v>12</v>
      </c>
    </row>
    <row r="796" customFormat="false" ht="15" hidden="false" customHeight="true" outlineLevel="0" collapsed="false">
      <c r="A796" s="18" t="s">
        <v>849</v>
      </c>
      <c r="B796" s="19" t="n">
        <v>45316</v>
      </c>
      <c r="C796" s="18" t="s">
        <v>41</v>
      </c>
      <c r="D796" s="18" t="s">
        <v>86</v>
      </c>
      <c r="E796" s="18" t="s">
        <v>21</v>
      </c>
      <c r="F796" s="20" t="n">
        <v>433264</v>
      </c>
      <c r="G796" s="20" t="n">
        <v>101817.04</v>
      </c>
      <c r="H796" s="18" t="n">
        <v>8</v>
      </c>
      <c r="I796" s="20" t="n">
        <f aca="false">F796</f>
        <v>433264</v>
      </c>
      <c r="J796" s="22" t="n">
        <f aca="false">IFERROR(G796/F796,0)</f>
        <v>0.235</v>
      </c>
      <c r="K796" s="23" t="n">
        <f aca="false">MONTH(B796)</f>
        <v>1</v>
      </c>
    </row>
    <row r="797" customFormat="false" ht="15" hidden="false" customHeight="true" outlineLevel="0" collapsed="false">
      <c r="A797" s="18" t="s">
        <v>850</v>
      </c>
      <c r="B797" s="19" t="n">
        <v>45515</v>
      </c>
      <c r="C797" s="18" t="s">
        <v>23</v>
      </c>
      <c r="D797" s="18" t="s">
        <v>83</v>
      </c>
      <c r="E797" s="18" t="s">
        <v>21</v>
      </c>
      <c r="F797" s="20" t="n">
        <v>39132</v>
      </c>
      <c r="G797" s="20" t="n">
        <v>8922.1</v>
      </c>
      <c r="H797" s="18" t="n">
        <v>6</v>
      </c>
      <c r="I797" s="20" t="n">
        <f aca="false">F797</f>
        <v>39132</v>
      </c>
      <c r="J797" s="22" t="n">
        <f aca="false">IFERROR(G797/F797,0)</f>
        <v>0.228000102218134</v>
      </c>
      <c r="K797" s="23" t="n">
        <f aca="false">MONTH(B797)</f>
        <v>8</v>
      </c>
    </row>
    <row r="798" customFormat="false" ht="15" hidden="false" customHeight="true" outlineLevel="0" collapsed="false">
      <c r="A798" s="18" t="s">
        <v>851</v>
      </c>
      <c r="B798" s="19" t="n">
        <v>45485</v>
      </c>
      <c r="C798" s="18" t="s">
        <v>27</v>
      </c>
      <c r="D798" s="18" t="s">
        <v>55</v>
      </c>
      <c r="E798" s="18" t="s">
        <v>32</v>
      </c>
      <c r="F798" s="20" t="n">
        <v>186435</v>
      </c>
      <c r="G798" s="20" t="n">
        <v>27033.07</v>
      </c>
      <c r="H798" s="18" t="n">
        <v>9</v>
      </c>
      <c r="I798" s="20" t="n">
        <f aca="false">F798</f>
        <v>186435</v>
      </c>
      <c r="J798" s="22" t="n">
        <f aca="false">IFERROR(G798/F798,0)</f>
        <v>0.144999973181001</v>
      </c>
      <c r="K798" s="23" t="n">
        <f aca="false">MONTH(B798)</f>
        <v>7</v>
      </c>
    </row>
    <row r="799" customFormat="false" ht="15" hidden="false" customHeight="true" outlineLevel="0" collapsed="false">
      <c r="A799" s="18" t="s">
        <v>852</v>
      </c>
      <c r="B799" s="19" t="n">
        <v>45597</v>
      </c>
      <c r="C799" s="18" t="s">
        <v>41</v>
      </c>
      <c r="D799" s="18" t="s">
        <v>88</v>
      </c>
      <c r="E799" s="18" t="s">
        <v>50</v>
      </c>
      <c r="F799" s="20" t="n">
        <v>2485</v>
      </c>
      <c r="G799" s="20" t="n">
        <v>991.52</v>
      </c>
      <c r="H799" s="18" t="n">
        <v>7</v>
      </c>
      <c r="I799" s="20" t="n">
        <f aca="false">F799</f>
        <v>2485</v>
      </c>
      <c r="J799" s="22" t="n">
        <f aca="false">IFERROR(G799/F799,0)</f>
        <v>0.399002012072435</v>
      </c>
      <c r="K799" s="23" t="n">
        <f aca="false">MONTH(B799)</f>
        <v>11</v>
      </c>
    </row>
    <row r="800" customFormat="false" ht="15" hidden="false" customHeight="true" outlineLevel="0" collapsed="false">
      <c r="A800" s="18" t="s">
        <v>853</v>
      </c>
      <c r="B800" s="19" t="n">
        <v>45455</v>
      </c>
      <c r="C800" s="18" t="s">
        <v>19</v>
      </c>
      <c r="D800" s="18" t="s">
        <v>88</v>
      </c>
      <c r="E800" s="18" t="s">
        <v>50</v>
      </c>
      <c r="F800" s="20" t="n">
        <v>717</v>
      </c>
      <c r="G800" s="20" t="n">
        <v>217.25</v>
      </c>
      <c r="H800" s="18" t="n">
        <v>3</v>
      </c>
      <c r="I800" s="20" t="n">
        <f aca="false">F800</f>
        <v>717</v>
      </c>
      <c r="J800" s="22" t="n">
        <f aca="false">IFERROR(G800/F800,0)</f>
        <v>0.302998605299861</v>
      </c>
      <c r="K800" s="23" t="n">
        <f aca="false">MONTH(B800)</f>
        <v>6</v>
      </c>
    </row>
    <row r="801" customFormat="false" ht="15" hidden="false" customHeight="true" outlineLevel="0" collapsed="false">
      <c r="A801" s="18" t="s">
        <v>854</v>
      </c>
      <c r="B801" s="19" t="n">
        <v>45405</v>
      </c>
      <c r="C801" s="18" t="s">
        <v>19</v>
      </c>
      <c r="D801" s="18" t="s">
        <v>36</v>
      </c>
      <c r="E801" s="18" t="s">
        <v>25</v>
      </c>
      <c r="F801" s="20" t="n">
        <v>6375</v>
      </c>
      <c r="G801" s="20" t="n">
        <v>1606.5</v>
      </c>
      <c r="H801" s="18" t="n">
        <v>3</v>
      </c>
      <c r="I801" s="20" t="n">
        <f aca="false">F801</f>
        <v>6375</v>
      </c>
      <c r="J801" s="22" t="n">
        <f aca="false">IFERROR(G801/F801,0)</f>
        <v>0.252</v>
      </c>
      <c r="K801" s="23" t="n">
        <f aca="false">MONTH(B801)</f>
        <v>4</v>
      </c>
    </row>
    <row r="802" customFormat="false" ht="15" hidden="false" customHeight="true" outlineLevel="0" collapsed="false">
      <c r="A802" s="18" t="s">
        <v>855</v>
      </c>
      <c r="B802" s="19" t="n">
        <v>45299</v>
      </c>
      <c r="C802" s="18" t="s">
        <v>19</v>
      </c>
      <c r="D802" s="18" t="s">
        <v>20</v>
      </c>
      <c r="E802" s="18" t="s">
        <v>21</v>
      </c>
      <c r="F802" s="20" t="n">
        <v>3990</v>
      </c>
      <c r="G802" s="20" t="n">
        <v>969.57</v>
      </c>
      <c r="H802" s="18" t="n">
        <v>1</v>
      </c>
      <c r="I802" s="20" t="n">
        <f aca="false">F802</f>
        <v>3990</v>
      </c>
      <c r="J802" s="22" t="n">
        <f aca="false">IFERROR(G802/F802,0)</f>
        <v>0.243</v>
      </c>
      <c r="K802" s="23" t="n">
        <f aca="false">MONTH(B802)</f>
        <v>1</v>
      </c>
    </row>
    <row r="803" customFormat="false" ht="15" hidden="false" customHeight="true" outlineLevel="0" collapsed="false">
      <c r="A803" s="18" t="s">
        <v>856</v>
      </c>
      <c r="B803" s="19" t="n">
        <v>45450</v>
      </c>
      <c r="C803" s="18" t="s">
        <v>41</v>
      </c>
      <c r="D803" s="18" t="s">
        <v>28</v>
      </c>
      <c r="E803" s="18" t="s">
        <v>29</v>
      </c>
      <c r="F803" s="20" t="n">
        <v>13088</v>
      </c>
      <c r="G803" s="20" t="n">
        <v>2015.55</v>
      </c>
      <c r="H803" s="18" t="n">
        <v>4</v>
      </c>
      <c r="I803" s="20" t="n">
        <f aca="false">F803</f>
        <v>13088</v>
      </c>
      <c r="J803" s="22" t="n">
        <f aca="false">IFERROR(G803/F803,0)</f>
        <v>0.153999847188264</v>
      </c>
      <c r="K803" s="23" t="n">
        <f aca="false">MONTH(B803)</f>
        <v>6</v>
      </c>
    </row>
    <row r="804" customFormat="false" ht="15" hidden="false" customHeight="true" outlineLevel="0" collapsed="false">
      <c r="A804" s="18" t="s">
        <v>857</v>
      </c>
      <c r="B804" s="19" t="n">
        <v>45525</v>
      </c>
      <c r="C804" s="18" t="s">
        <v>39</v>
      </c>
      <c r="D804" s="18" t="s">
        <v>120</v>
      </c>
      <c r="E804" s="18" t="s">
        <v>29</v>
      </c>
      <c r="F804" s="20" t="n">
        <v>74610</v>
      </c>
      <c r="G804" s="20" t="n">
        <v>9923.13</v>
      </c>
      <c r="H804" s="18" t="n">
        <v>9</v>
      </c>
      <c r="I804" s="20" t="n">
        <f aca="false">F804</f>
        <v>74610</v>
      </c>
      <c r="J804" s="22" t="n">
        <f aca="false">IFERROR(G804/F804,0)</f>
        <v>0.133</v>
      </c>
      <c r="K804" s="23" t="n">
        <f aca="false">MONTH(B804)</f>
        <v>8</v>
      </c>
    </row>
    <row r="805" customFormat="false" ht="15" hidden="false" customHeight="true" outlineLevel="0" collapsed="false">
      <c r="A805" s="18" t="s">
        <v>858</v>
      </c>
      <c r="B805" s="19" t="n">
        <v>45605</v>
      </c>
      <c r="C805" s="18" t="s">
        <v>19</v>
      </c>
      <c r="D805" s="18" t="s">
        <v>44</v>
      </c>
      <c r="E805" s="18" t="s">
        <v>32</v>
      </c>
      <c r="F805" s="20" t="n">
        <v>41650</v>
      </c>
      <c r="G805" s="20" t="n">
        <v>6414.1</v>
      </c>
      <c r="H805" s="18" t="n">
        <v>7</v>
      </c>
      <c r="I805" s="20" t="n">
        <f aca="false">F805</f>
        <v>41650</v>
      </c>
      <c r="J805" s="22" t="n">
        <f aca="false">IFERROR(G805/F805,0)</f>
        <v>0.154</v>
      </c>
      <c r="K805" s="23" t="n">
        <f aca="false">MONTH(B805)</f>
        <v>11</v>
      </c>
    </row>
    <row r="806" customFormat="false" ht="15" hidden="false" customHeight="true" outlineLevel="0" collapsed="false">
      <c r="A806" s="18" t="s">
        <v>859</v>
      </c>
      <c r="B806" s="19" t="n">
        <v>45380</v>
      </c>
      <c r="C806" s="18" t="s">
        <v>23</v>
      </c>
      <c r="D806" s="18" t="s">
        <v>93</v>
      </c>
      <c r="E806" s="18" t="s">
        <v>32</v>
      </c>
      <c r="F806" s="20" t="n">
        <v>8804</v>
      </c>
      <c r="G806" s="20" t="n">
        <v>1540.7</v>
      </c>
      <c r="H806" s="18" t="n">
        <v>2</v>
      </c>
      <c r="I806" s="20" t="n">
        <f aca="false">F806</f>
        <v>8804</v>
      </c>
      <c r="J806" s="22" t="n">
        <f aca="false">IFERROR(G806/F806,0)</f>
        <v>0.175</v>
      </c>
      <c r="K806" s="23" t="n">
        <f aca="false">MONTH(B806)</f>
        <v>3</v>
      </c>
    </row>
    <row r="807" customFormat="false" ht="15" hidden="false" customHeight="true" outlineLevel="0" collapsed="false">
      <c r="A807" s="18" t="s">
        <v>860</v>
      </c>
      <c r="B807" s="19" t="n">
        <v>45457</v>
      </c>
      <c r="C807" s="18" t="s">
        <v>39</v>
      </c>
      <c r="D807" s="18" t="s">
        <v>58</v>
      </c>
      <c r="E807" s="18" t="s">
        <v>50</v>
      </c>
      <c r="F807" s="20" t="n">
        <v>1296</v>
      </c>
      <c r="G807" s="20" t="n">
        <v>333.07</v>
      </c>
      <c r="H807" s="18" t="n">
        <v>9</v>
      </c>
      <c r="I807" s="20" t="n">
        <f aca="false">F807</f>
        <v>1296</v>
      </c>
      <c r="J807" s="22" t="n">
        <f aca="false">IFERROR(G807/F807,0)</f>
        <v>0.256998456790123</v>
      </c>
      <c r="K807" s="23" t="n">
        <f aca="false">MONTH(B807)</f>
        <v>6</v>
      </c>
    </row>
    <row r="808" customFormat="false" ht="15" hidden="false" customHeight="true" outlineLevel="0" collapsed="false">
      <c r="A808" s="18" t="s">
        <v>861</v>
      </c>
      <c r="B808" s="19" t="n">
        <v>45629</v>
      </c>
      <c r="C808" s="18" t="s">
        <v>39</v>
      </c>
      <c r="D808" s="18" t="s">
        <v>31</v>
      </c>
      <c r="E808" s="18" t="s">
        <v>32</v>
      </c>
      <c r="F808" s="20" t="n">
        <v>349644</v>
      </c>
      <c r="G808" s="20" t="n">
        <v>56991.97</v>
      </c>
      <c r="H808" s="18" t="n">
        <v>6</v>
      </c>
      <c r="I808" s="20" t="n">
        <f aca="false">F808</f>
        <v>349644</v>
      </c>
      <c r="J808" s="22" t="n">
        <f aca="false">IFERROR(G808/F808,0)</f>
        <v>0.162999994279896</v>
      </c>
      <c r="K808" s="23" t="n">
        <f aca="false">MONTH(B808)</f>
        <v>12</v>
      </c>
    </row>
    <row r="809" customFormat="false" ht="15" hidden="false" customHeight="true" outlineLevel="0" collapsed="false">
      <c r="A809" s="18" t="s">
        <v>862</v>
      </c>
      <c r="B809" s="19" t="n">
        <v>45566</v>
      </c>
      <c r="C809" s="18" t="s">
        <v>19</v>
      </c>
      <c r="D809" s="18" t="s">
        <v>31</v>
      </c>
      <c r="E809" s="18" t="s">
        <v>32</v>
      </c>
      <c r="F809" s="20" t="n">
        <v>794619</v>
      </c>
      <c r="G809" s="20" t="n">
        <v>119192.85</v>
      </c>
      <c r="H809" s="18" t="n">
        <v>9</v>
      </c>
      <c r="I809" s="20" t="n">
        <f aca="false">F809</f>
        <v>794619</v>
      </c>
      <c r="J809" s="22" t="n">
        <f aca="false">IFERROR(G809/F809,0)</f>
        <v>0.15</v>
      </c>
      <c r="K809" s="23" t="n">
        <f aca="false">MONTH(B809)</f>
        <v>10</v>
      </c>
    </row>
    <row r="810" customFormat="false" ht="15" hidden="false" customHeight="true" outlineLevel="0" collapsed="false">
      <c r="A810" s="18" t="s">
        <v>863</v>
      </c>
      <c r="B810" s="19" t="n">
        <v>45657</v>
      </c>
      <c r="C810" s="18" t="s">
        <v>19</v>
      </c>
      <c r="D810" s="18" t="s">
        <v>42</v>
      </c>
      <c r="E810" s="18" t="s">
        <v>21</v>
      </c>
      <c r="F810" s="20" t="n">
        <v>47510</v>
      </c>
      <c r="G810" s="20" t="n">
        <v>7696.62</v>
      </c>
      <c r="H810" s="18" t="n">
        <v>5</v>
      </c>
      <c r="I810" s="20" t="n">
        <f aca="false">F810</f>
        <v>47510</v>
      </c>
      <c r="J810" s="22" t="n">
        <f aca="false">IFERROR(G810/F810,0)</f>
        <v>0.162</v>
      </c>
      <c r="K810" s="23" t="n">
        <f aca="false">MONTH(B810)</f>
        <v>12</v>
      </c>
    </row>
    <row r="811" customFormat="false" ht="15" hidden="false" customHeight="true" outlineLevel="0" collapsed="false">
      <c r="A811" s="18" t="s">
        <v>864</v>
      </c>
      <c r="B811" s="19" t="n">
        <v>45427</v>
      </c>
      <c r="C811" s="18" t="s">
        <v>39</v>
      </c>
      <c r="D811" s="18" t="s">
        <v>42</v>
      </c>
      <c r="E811" s="18" t="s">
        <v>21</v>
      </c>
      <c r="F811" s="20" t="n">
        <v>19484</v>
      </c>
      <c r="G811" s="20" t="n">
        <v>2981.05</v>
      </c>
      <c r="H811" s="18" t="n">
        <v>2</v>
      </c>
      <c r="I811" s="20" t="n">
        <f aca="false">F811</f>
        <v>19484</v>
      </c>
      <c r="J811" s="22" t="n">
        <f aca="false">IFERROR(G811/F811,0)</f>
        <v>0.152999897351673</v>
      </c>
      <c r="K811" s="23" t="n">
        <f aca="false">MONTH(B811)</f>
        <v>5</v>
      </c>
    </row>
    <row r="812" customFormat="false" ht="15" hidden="false" customHeight="true" outlineLevel="0" collapsed="false">
      <c r="A812" s="18" t="s">
        <v>865</v>
      </c>
      <c r="B812" s="19" t="n">
        <v>45324</v>
      </c>
      <c r="C812" s="18" t="s">
        <v>39</v>
      </c>
      <c r="D812" s="18" t="s">
        <v>49</v>
      </c>
      <c r="E812" s="18" t="s">
        <v>50</v>
      </c>
      <c r="F812" s="20" t="n">
        <v>365</v>
      </c>
      <c r="G812" s="20" t="n">
        <v>94.9</v>
      </c>
      <c r="H812" s="18" t="n">
        <v>5</v>
      </c>
      <c r="I812" s="20" t="n">
        <f aca="false">F812</f>
        <v>365</v>
      </c>
      <c r="J812" s="22" t="n">
        <f aca="false">IFERROR(G812/F812,0)</f>
        <v>0.26</v>
      </c>
      <c r="K812" s="23" t="n">
        <f aca="false">MONTH(B812)</f>
        <v>2</v>
      </c>
    </row>
    <row r="813" customFormat="false" ht="15" hidden="false" customHeight="true" outlineLevel="0" collapsed="false">
      <c r="A813" s="18" t="s">
        <v>866</v>
      </c>
      <c r="B813" s="19" t="n">
        <v>45458</v>
      </c>
      <c r="C813" s="18" t="s">
        <v>39</v>
      </c>
      <c r="D813" s="18" t="s">
        <v>24</v>
      </c>
      <c r="E813" s="18" t="s">
        <v>25</v>
      </c>
      <c r="F813" s="20" t="n">
        <v>15420</v>
      </c>
      <c r="G813" s="20" t="n">
        <v>4872.72</v>
      </c>
      <c r="H813" s="18" t="n">
        <v>10</v>
      </c>
      <c r="I813" s="20" t="n">
        <f aca="false">F813</f>
        <v>15420</v>
      </c>
      <c r="J813" s="22" t="n">
        <f aca="false">IFERROR(G813/F813,0)</f>
        <v>0.316</v>
      </c>
      <c r="K813" s="23" t="n">
        <f aca="false">MONTH(B813)</f>
        <v>6</v>
      </c>
    </row>
    <row r="814" customFormat="false" ht="15" hidden="false" customHeight="true" outlineLevel="0" collapsed="false">
      <c r="A814" s="18" t="s">
        <v>867</v>
      </c>
      <c r="B814" s="19" t="n">
        <v>45481</v>
      </c>
      <c r="C814" s="18" t="s">
        <v>23</v>
      </c>
      <c r="D814" s="18" t="s">
        <v>72</v>
      </c>
      <c r="E814" s="18" t="s">
        <v>29</v>
      </c>
      <c r="F814" s="20" t="n">
        <v>73256</v>
      </c>
      <c r="G814" s="20" t="n">
        <v>14577.94</v>
      </c>
      <c r="H814" s="18" t="n">
        <v>8</v>
      </c>
      <c r="I814" s="20" t="n">
        <f aca="false">F814</f>
        <v>73256</v>
      </c>
      <c r="J814" s="22" t="n">
        <f aca="false">IFERROR(G814/F814,0)</f>
        <v>0.198999945396964</v>
      </c>
      <c r="K814" s="23" t="n">
        <f aca="false">MONTH(B814)</f>
        <v>7</v>
      </c>
    </row>
    <row r="815" customFormat="false" ht="15" hidden="false" customHeight="true" outlineLevel="0" collapsed="false">
      <c r="A815" s="18" t="s">
        <v>868</v>
      </c>
      <c r="B815" s="19" t="n">
        <v>45575</v>
      </c>
      <c r="C815" s="18" t="s">
        <v>39</v>
      </c>
      <c r="D815" s="18" t="s">
        <v>46</v>
      </c>
      <c r="E815" s="18" t="s">
        <v>29</v>
      </c>
      <c r="F815" s="20" t="n">
        <v>29268</v>
      </c>
      <c r="G815" s="20" t="n">
        <v>3892.64</v>
      </c>
      <c r="H815" s="18" t="n">
        <v>4</v>
      </c>
      <c r="I815" s="20" t="n">
        <f aca="false">F815</f>
        <v>29268</v>
      </c>
      <c r="J815" s="22" t="n">
        <f aca="false">IFERROR(G815/F815,0)</f>
        <v>0.132999863331967</v>
      </c>
      <c r="K815" s="23" t="n">
        <f aca="false">MONTH(B815)</f>
        <v>10</v>
      </c>
    </row>
    <row r="816" customFormat="false" ht="15" hidden="false" customHeight="true" outlineLevel="0" collapsed="false">
      <c r="A816" s="18" t="s">
        <v>869</v>
      </c>
      <c r="B816" s="19" t="n">
        <v>45396</v>
      </c>
      <c r="C816" s="18" t="s">
        <v>19</v>
      </c>
      <c r="D816" s="18" t="s">
        <v>28</v>
      </c>
      <c r="E816" s="18" t="s">
        <v>29</v>
      </c>
      <c r="F816" s="20" t="n">
        <v>32456</v>
      </c>
      <c r="G816" s="20" t="n">
        <v>6199.1</v>
      </c>
      <c r="H816" s="18" t="n">
        <v>8</v>
      </c>
      <c r="I816" s="20" t="n">
        <f aca="false">F816</f>
        <v>32456</v>
      </c>
      <c r="J816" s="22" t="n">
        <f aca="false">IFERROR(G816/F816,0)</f>
        <v>0.191000123243776</v>
      </c>
      <c r="K816" s="23" t="n">
        <f aca="false">MONTH(B816)</f>
        <v>4</v>
      </c>
    </row>
    <row r="817" customFormat="false" ht="15" hidden="false" customHeight="true" outlineLevel="0" collapsed="false">
      <c r="A817" s="18" t="s">
        <v>870</v>
      </c>
      <c r="B817" s="19" t="n">
        <v>45518</v>
      </c>
      <c r="C817" s="18" t="s">
        <v>41</v>
      </c>
      <c r="D817" s="18" t="s">
        <v>20</v>
      </c>
      <c r="E817" s="18" t="s">
        <v>21</v>
      </c>
      <c r="F817" s="20" t="n">
        <v>59990</v>
      </c>
      <c r="G817" s="20" t="n">
        <v>8218.63</v>
      </c>
      <c r="H817" s="18" t="n">
        <v>5</v>
      </c>
      <c r="I817" s="20" t="n">
        <f aca="false">F817</f>
        <v>59990</v>
      </c>
      <c r="J817" s="22" t="n">
        <f aca="false">IFERROR(G817/F817,0)</f>
        <v>0.137</v>
      </c>
      <c r="K817" s="23" t="n">
        <f aca="false">MONTH(B817)</f>
        <v>8</v>
      </c>
    </row>
    <row r="818" customFormat="false" ht="15" hidden="false" customHeight="true" outlineLevel="0" collapsed="false">
      <c r="A818" s="18" t="s">
        <v>871</v>
      </c>
      <c r="B818" s="19" t="n">
        <v>45405</v>
      </c>
      <c r="C818" s="18" t="s">
        <v>19</v>
      </c>
      <c r="D818" s="18" t="s">
        <v>42</v>
      </c>
      <c r="E818" s="18" t="s">
        <v>21</v>
      </c>
      <c r="F818" s="20" t="n">
        <v>54445</v>
      </c>
      <c r="G818" s="20" t="n">
        <v>12086.79</v>
      </c>
      <c r="H818" s="18" t="n">
        <v>5</v>
      </c>
      <c r="I818" s="20" t="n">
        <f aca="false">F818</f>
        <v>54445</v>
      </c>
      <c r="J818" s="22" t="n">
        <f aca="false">IFERROR(G818/F818,0)</f>
        <v>0.222</v>
      </c>
      <c r="K818" s="23" t="n">
        <f aca="false">MONTH(B818)</f>
        <v>4</v>
      </c>
    </row>
    <row r="819" customFormat="false" ht="15" hidden="false" customHeight="true" outlineLevel="0" collapsed="false">
      <c r="A819" s="18" t="s">
        <v>872</v>
      </c>
      <c r="B819" s="19" t="n">
        <v>45530</v>
      </c>
      <c r="C819" s="18" t="s">
        <v>27</v>
      </c>
      <c r="D819" s="18" t="s">
        <v>64</v>
      </c>
      <c r="E819" s="18" t="s">
        <v>32</v>
      </c>
      <c r="F819" s="20" t="n">
        <v>150136</v>
      </c>
      <c r="G819" s="20" t="n">
        <v>17866.18</v>
      </c>
      <c r="H819" s="18" t="n">
        <v>4</v>
      </c>
      <c r="I819" s="20" t="n">
        <f aca="false">F819</f>
        <v>150136</v>
      </c>
      <c r="J819" s="22" t="n">
        <f aca="false">IFERROR(G819/F819,0)</f>
        <v>0.118999973357489</v>
      </c>
      <c r="K819" s="23" t="n">
        <f aca="false">MONTH(B819)</f>
        <v>8</v>
      </c>
    </row>
    <row r="820" customFormat="false" ht="15" hidden="false" customHeight="true" outlineLevel="0" collapsed="false">
      <c r="A820" s="18" t="s">
        <v>840</v>
      </c>
      <c r="B820" s="19" t="n">
        <v>45652</v>
      </c>
      <c r="C820" s="18" t="s">
        <v>19</v>
      </c>
      <c r="D820" s="18" t="s">
        <v>106</v>
      </c>
      <c r="E820" s="18" t="s">
        <v>25</v>
      </c>
      <c r="F820" s="20" t="n">
        <v>4016</v>
      </c>
      <c r="G820" s="20" t="n">
        <v>899.58</v>
      </c>
      <c r="H820" s="18" t="n">
        <v>2</v>
      </c>
      <c r="I820" s="20" t="n">
        <f aca="false">F820</f>
        <v>4016</v>
      </c>
      <c r="J820" s="22" t="n">
        <f aca="false">IFERROR(G820/F820,0)</f>
        <v>0.223999003984064</v>
      </c>
      <c r="K820" s="23" t="n">
        <f aca="false">MONTH(B820)</f>
        <v>12</v>
      </c>
    </row>
    <row r="821" customFormat="false" ht="15" hidden="false" customHeight="true" outlineLevel="0" collapsed="false">
      <c r="A821" s="18" t="s">
        <v>873</v>
      </c>
      <c r="B821" s="19" t="n">
        <v>45321</v>
      </c>
      <c r="C821" s="18" t="s">
        <v>41</v>
      </c>
      <c r="D821" s="18" t="s">
        <v>46</v>
      </c>
      <c r="E821" s="18" t="s">
        <v>29</v>
      </c>
      <c r="F821" s="20" t="n">
        <v>93904</v>
      </c>
      <c r="G821" s="20" t="n">
        <v>18029.57</v>
      </c>
      <c r="H821" s="18" t="n">
        <v>8</v>
      </c>
      <c r="I821" s="20" t="n">
        <f aca="false">F821</f>
        <v>93904</v>
      </c>
      <c r="J821" s="22" t="n">
        <f aca="false">IFERROR(G821/F821,0)</f>
        <v>0.192000021298347</v>
      </c>
      <c r="K821" s="23" t="n">
        <f aca="false">MONTH(B821)</f>
        <v>1</v>
      </c>
    </row>
    <row r="822" customFormat="false" ht="15" hidden="false" customHeight="true" outlineLevel="0" collapsed="false">
      <c r="A822" s="18" t="s">
        <v>874</v>
      </c>
      <c r="B822" s="19" t="n">
        <v>45431</v>
      </c>
      <c r="C822" s="18" t="s">
        <v>23</v>
      </c>
      <c r="D822" s="18" t="s">
        <v>55</v>
      </c>
      <c r="E822" s="18" t="s">
        <v>32</v>
      </c>
      <c r="F822" s="20" t="n">
        <v>85250</v>
      </c>
      <c r="G822" s="20" t="n">
        <v>11082.5</v>
      </c>
      <c r="H822" s="18" t="n">
        <v>5</v>
      </c>
      <c r="I822" s="20" t="n">
        <f aca="false">F822</f>
        <v>85250</v>
      </c>
      <c r="J822" s="22" t="n">
        <f aca="false">IFERROR(G822/F822,0)</f>
        <v>0.13</v>
      </c>
      <c r="K822" s="23" t="n">
        <f aca="false">MONTH(B822)</f>
        <v>5</v>
      </c>
    </row>
    <row r="823" customFormat="false" ht="15" hidden="false" customHeight="true" outlineLevel="0" collapsed="false">
      <c r="A823" s="18" t="s">
        <v>875</v>
      </c>
      <c r="B823" s="19" t="n">
        <v>45414</v>
      </c>
      <c r="C823" s="18" t="s">
        <v>41</v>
      </c>
      <c r="D823" s="18" t="s">
        <v>42</v>
      </c>
      <c r="E823" s="18" t="s">
        <v>21</v>
      </c>
      <c r="F823" s="20" t="n">
        <v>38298</v>
      </c>
      <c r="G823" s="20" t="n">
        <v>6740.45</v>
      </c>
      <c r="H823" s="18" t="n">
        <v>2</v>
      </c>
      <c r="I823" s="20" t="n">
        <f aca="false">F823</f>
        <v>38298</v>
      </c>
      <c r="J823" s="22" t="n">
        <f aca="false">IFERROR(G823/F823,0)</f>
        <v>0.176000052222048</v>
      </c>
      <c r="K823" s="23" t="n">
        <f aca="false">MONTH(B823)</f>
        <v>5</v>
      </c>
    </row>
    <row r="824" customFormat="false" ht="15" hidden="false" customHeight="true" outlineLevel="0" collapsed="false">
      <c r="A824" s="18" t="s">
        <v>876</v>
      </c>
      <c r="B824" s="19" t="n">
        <v>45358</v>
      </c>
      <c r="C824" s="18" t="s">
        <v>27</v>
      </c>
      <c r="D824" s="18" t="s">
        <v>72</v>
      </c>
      <c r="E824" s="18" t="s">
        <v>29</v>
      </c>
      <c r="F824" s="20" t="n">
        <v>52784</v>
      </c>
      <c r="G824" s="20" t="n">
        <v>8234.3</v>
      </c>
      <c r="H824" s="18" t="n">
        <v>4</v>
      </c>
      <c r="I824" s="20" t="n">
        <f aca="false">F824</f>
        <v>52784</v>
      </c>
      <c r="J824" s="22" t="n">
        <f aca="false">IFERROR(G824/F824,0)</f>
        <v>0.15599992421946</v>
      </c>
      <c r="K824" s="23" t="n">
        <f aca="false">MONTH(B824)</f>
        <v>3</v>
      </c>
    </row>
    <row r="825" customFormat="false" ht="15" hidden="false" customHeight="true" outlineLevel="0" collapsed="false">
      <c r="A825" s="18" t="s">
        <v>877</v>
      </c>
      <c r="B825" s="19" t="n">
        <v>45570</v>
      </c>
      <c r="C825" s="18" t="s">
        <v>23</v>
      </c>
      <c r="D825" s="18" t="s">
        <v>24</v>
      </c>
      <c r="E825" s="18" t="s">
        <v>25</v>
      </c>
      <c r="F825" s="20" t="n">
        <v>15606</v>
      </c>
      <c r="G825" s="20" t="n">
        <v>2403.32</v>
      </c>
      <c r="H825" s="18" t="n">
        <v>9</v>
      </c>
      <c r="I825" s="20" t="n">
        <f aca="false">F825</f>
        <v>15606</v>
      </c>
      <c r="J825" s="22" t="n">
        <f aca="false">IFERROR(G825/F825,0)</f>
        <v>0.153999743688325</v>
      </c>
      <c r="K825" s="23" t="n">
        <f aca="false">MONTH(B825)</f>
        <v>10</v>
      </c>
    </row>
    <row r="826" customFormat="false" ht="15" hidden="false" customHeight="true" outlineLevel="0" collapsed="false">
      <c r="A826" s="18" t="s">
        <v>878</v>
      </c>
      <c r="B826" s="19" t="n">
        <v>45616</v>
      </c>
      <c r="C826" s="18" t="s">
        <v>19</v>
      </c>
      <c r="D826" s="18" t="s">
        <v>42</v>
      </c>
      <c r="E826" s="18" t="s">
        <v>21</v>
      </c>
      <c r="F826" s="20" t="n">
        <v>73955</v>
      </c>
      <c r="G826" s="20" t="n">
        <v>10353.7</v>
      </c>
      <c r="H826" s="18" t="n">
        <v>5</v>
      </c>
      <c r="I826" s="20" t="n">
        <f aca="false">F826</f>
        <v>73955</v>
      </c>
      <c r="J826" s="22" t="n">
        <f aca="false">IFERROR(G826/F826,0)</f>
        <v>0.14</v>
      </c>
      <c r="K826" s="23" t="n">
        <f aca="false">MONTH(B826)</f>
        <v>11</v>
      </c>
    </row>
    <row r="827" customFormat="false" ht="15" hidden="false" customHeight="true" outlineLevel="0" collapsed="false">
      <c r="A827" s="18" t="s">
        <v>879</v>
      </c>
      <c r="B827" s="19" t="n">
        <v>45555</v>
      </c>
      <c r="C827" s="18" t="s">
        <v>41</v>
      </c>
      <c r="D827" s="18" t="s">
        <v>52</v>
      </c>
      <c r="E827" s="18" t="s">
        <v>32</v>
      </c>
      <c r="F827" s="20" t="n">
        <v>21405</v>
      </c>
      <c r="G827" s="20" t="n">
        <v>2868.27</v>
      </c>
      <c r="H827" s="18" t="n">
        <v>3</v>
      </c>
      <c r="I827" s="20" t="n">
        <f aca="false">F827</f>
        <v>21405</v>
      </c>
      <c r="J827" s="22" t="n">
        <f aca="false">IFERROR(G827/F827,0)</f>
        <v>0.134</v>
      </c>
      <c r="K827" s="23" t="n">
        <f aca="false">MONTH(B827)</f>
        <v>9</v>
      </c>
    </row>
    <row r="828" customFormat="false" ht="15" hidden="false" customHeight="true" outlineLevel="0" collapsed="false">
      <c r="A828" s="18" t="s">
        <v>880</v>
      </c>
      <c r="B828" s="19" t="n">
        <v>45525</v>
      </c>
      <c r="C828" s="18" t="s">
        <v>19</v>
      </c>
      <c r="D828" s="18" t="s">
        <v>83</v>
      </c>
      <c r="E828" s="18" t="s">
        <v>21</v>
      </c>
      <c r="F828" s="20" t="n">
        <v>26560</v>
      </c>
      <c r="G828" s="20" t="n">
        <v>3532.48</v>
      </c>
      <c r="H828" s="18" t="n">
        <v>8</v>
      </c>
      <c r="I828" s="20" t="n">
        <f aca="false">F828</f>
        <v>26560</v>
      </c>
      <c r="J828" s="22" t="n">
        <f aca="false">IFERROR(G828/F828,0)</f>
        <v>0.133</v>
      </c>
      <c r="K828" s="23" t="n">
        <f aca="false">MONTH(B828)</f>
        <v>8</v>
      </c>
    </row>
    <row r="829" customFormat="false" ht="15" hidden="false" customHeight="true" outlineLevel="0" collapsed="false">
      <c r="A829" s="18" t="s">
        <v>881</v>
      </c>
      <c r="B829" s="19" t="n">
        <v>45495</v>
      </c>
      <c r="C829" s="18" t="s">
        <v>39</v>
      </c>
      <c r="D829" s="18" t="s">
        <v>49</v>
      </c>
      <c r="E829" s="18" t="s">
        <v>50</v>
      </c>
      <c r="F829" s="20" t="n">
        <v>332</v>
      </c>
      <c r="G829" s="20" t="n">
        <v>84.33</v>
      </c>
      <c r="H829" s="18" t="n">
        <v>4</v>
      </c>
      <c r="I829" s="20" t="n">
        <f aca="false">F829</f>
        <v>332</v>
      </c>
      <c r="J829" s="22" t="n">
        <f aca="false">IFERROR(G829/F829,0)</f>
        <v>0.254006024096386</v>
      </c>
      <c r="K829" s="23" t="n">
        <f aca="false">MONTH(B829)</f>
        <v>7</v>
      </c>
    </row>
    <row r="830" customFormat="false" ht="15" hidden="false" customHeight="true" outlineLevel="0" collapsed="false">
      <c r="A830" s="18" t="s">
        <v>882</v>
      </c>
      <c r="B830" s="19" t="n">
        <v>45404</v>
      </c>
      <c r="C830" s="18" t="s">
        <v>19</v>
      </c>
      <c r="D830" s="18" t="s">
        <v>64</v>
      </c>
      <c r="E830" s="18" t="s">
        <v>32</v>
      </c>
      <c r="F830" s="20" t="n">
        <v>123675</v>
      </c>
      <c r="G830" s="20" t="n">
        <v>16572.45</v>
      </c>
      <c r="H830" s="18" t="n">
        <v>5</v>
      </c>
      <c r="I830" s="20" t="n">
        <f aca="false">F830</f>
        <v>123675</v>
      </c>
      <c r="J830" s="22" t="n">
        <f aca="false">IFERROR(G830/F830,0)</f>
        <v>0.134</v>
      </c>
      <c r="K830" s="23" t="n">
        <f aca="false">MONTH(B830)</f>
        <v>4</v>
      </c>
    </row>
    <row r="831" customFormat="false" ht="15" hidden="false" customHeight="true" outlineLevel="0" collapsed="false">
      <c r="A831" s="18" t="s">
        <v>883</v>
      </c>
      <c r="B831" s="19" t="n">
        <v>45347</v>
      </c>
      <c r="C831" s="18" t="s">
        <v>41</v>
      </c>
      <c r="D831" s="18" t="s">
        <v>64</v>
      </c>
      <c r="E831" s="18" t="s">
        <v>32</v>
      </c>
      <c r="F831" s="20" t="n">
        <v>271033</v>
      </c>
      <c r="G831" s="20" t="n">
        <v>41468.05</v>
      </c>
      <c r="H831" s="18" t="n">
        <v>7</v>
      </c>
      <c r="I831" s="20" t="n">
        <f aca="false">F831</f>
        <v>271033</v>
      </c>
      <c r="J831" s="22" t="n">
        <f aca="false">IFERROR(G831/F831,0)</f>
        <v>0.153000003689588</v>
      </c>
      <c r="K831" s="23" t="n">
        <f aca="false">MONTH(B831)</f>
        <v>2</v>
      </c>
    </row>
    <row r="832" customFormat="false" ht="15" hidden="false" customHeight="true" outlineLevel="0" collapsed="false">
      <c r="A832" s="18" t="s">
        <v>884</v>
      </c>
      <c r="B832" s="19" t="n">
        <v>45436</v>
      </c>
      <c r="C832" s="18" t="s">
        <v>41</v>
      </c>
      <c r="D832" s="18" t="s">
        <v>20</v>
      </c>
      <c r="E832" s="18" t="s">
        <v>21</v>
      </c>
      <c r="F832" s="20" t="n">
        <v>33635</v>
      </c>
      <c r="G832" s="20" t="n">
        <v>5617.05</v>
      </c>
      <c r="H832" s="18" t="n">
        <v>5</v>
      </c>
      <c r="I832" s="20" t="n">
        <f aca="false">F832</f>
        <v>33635</v>
      </c>
      <c r="J832" s="22" t="n">
        <f aca="false">IFERROR(G832/F832,0)</f>
        <v>0.167000148654675</v>
      </c>
      <c r="K832" s="23" t="n">
        <f aca="false">MONTH(B832)</f>
        <v>5</v>
      </c>
    </row>
    <row r="833" customFormat="false" ht="15" hidden="false" customHeight="true" outlineLevel="0" collapsed="false">
      <c r="A833" s="18" t="s">
        <v>885</v>
      </c>
      <c r="B833" s="19" t="n">
        <v>45655</v>
      </c>
      <c r="C833" s="18" t="s">
        <v>41</v>
      </c>
      <c r="D833" s="18" t="s">
        <v>31</v>
      </c>
      <c r="E833" s="18" t="s">
        <v>32</v>
      </c>
      <c r="F833" s="20" t="n">
        <v>464790</v>
      </c>
      <c r="G833" s="20" t="n">
        <v>42295.89</v>
      </c>
      <c r="H833" s="18" t="n">
        <v>6</v>
      </c>
      <c r="I833" s="20" t="n">
        <f aca="false">F833</f>
        <v>464790</v>
      </c>
      <c r="J833" s="22" t="n">
        <f aca="false">IFERROR(G833/F833,0)</f>
        <v>0.091</v>
      </c>
      <c r="K833" s="23" t="n">
        <f aca="false">MONTH(B833)</f>
        <v>12</v>
      </c>
    </row>
    <row r="834" customFormat="false" ht="15" hidden="false" customHeight="true" outlineLevel="0" collapsed="false">
      <c r="A834" s="18" t="s">
        <v>886</v>
      </c>
      <c r="B834" s="19" t="n">
        <v>45636</v>
      </c>
      <c r="C834" s="18" t="s">
        <v>19</v>
      </c>
      <c r="D834" s="18" t="s">
        <v>42</v>
      </c>
      <c r="E834" s="18" t="s">
        <v>21</v>
      </c>
      <c r="F834" s="20" t="n">
        <v>91780</v>
      </c>
      <c r="G834" s="20" t="n">
        <v>12757.42</v>
      </c>
      <c r="H834" s="18" t="n">
        <v>5</v>
      </c>
      <c r="I834" s="20" t="n">
        <f aca="false">F834</f>
        <v>91780</v>
      </c>
      <c r="J834" s="22" t="n">
        <f aca="false">IFERROR(G834/F834,0)</f>
        <v>0.139</v>
      </c>
      <c r="K834" s="23" t="n">
        <f aca="false">MONTH(B834)</f>
        <v>12</v>
      </c>
    </row>
    <row r="835" customFormat="false" ht="15" hidden="false" customHeight="true" outlineLevel="0" collapsed="false">
      <c r="A835" s="18" t="s">
        <v>887</v>
      </c>
      <c r="B835" s="19" t="n">
        <v>45534</v>
      </c>
      <c r="C835" s="18" t="s">
        <v>27</v>
      </c>
      <c r="D835" s="18" t="s">
        <v>88</v>
      </c>
      <c r="E835" s="18" t="s">
        <v>50</v>
      </c>
      <c r="F835" s="20" t="n">
        <v>909</v>
      </c>
      <c r="G835" s="20" t="n">
        <v>357.24</v>
      </c>
      <c r="H835" s="18" t="n">
        <v>3</v>
      </c>
      <c r="I835" s="20" t="n">
        <f aca="false">F835</f>
        <v>909</v>
      </c>
      <c r="J835" s="22" t="n">
        <f aca="false">IFERROR(G835/F835,0)</f>
        <v>0.393003300330033</v>
      </c>
      <c r="K835" s="23" t="n">
        <f aca="false">MONTH(B835)</f>
        <v>8</v>
      </c>
    </row>
    <row r="836" customFormat="false" ht="15" hidden="false" customHeight="true" outlineLevel="0" collapsed="false">
      <c r="A836" s="18" t="s">
        <v>888</v>
      </c>
      <c r="B836" s="19" t="n">
        <v>45411</v>
      </c>
      <c r="C836" s="18" t="s">
        <v>41</v>
      </c>
      <c r="D836" s="18" t="s">
        <v>88</v>
      </c>
      <c r="E836" s="18" t="s">
        <v>50</v>
      </c>
      <c r="F836" s="20" t="n">
        <v>1410</v>
      </c>
      <c r="G836" s="20" t="n">
        <v>461.07</v>
      </c>
      <c r="H836" s="18" t="n">
        <v>5</v>
      </c>
      <c r="I836" s="20" t="n">
        <f aca="false">F836</f>
        <v>1410</v>
      </c>
      <c r="J836" s="22" t="n">
        <f aca="false">IFERROR(G836/F836,0)</f>
        <v>0.327</v>
      </c>
      <c r="K836" s="23" t="n">
        <f aca="false">MONTH(B836)</f>
        <v>4</v>
      </c>
    </row>
    <row r="837" customFormat="false" ht="15" hidden="false" customHeight="true" outlineLevel="0" collapsed="false">
      <c r="A837" s="18" t="s">
        <v>889</v>
      </c>
      <c r="B837" s="19" t="n">
        <v>45629</v>
      </c>
      <c r="C837" s="18" t="s">
        <v>19</v>
      </c>
      <c r="D837" s="18" t="s">
        <v>106</v>
      </c>
      <c r="E837" s="18" t="s">
        <v>25</v>
      </c>
      <c r="F837" s="20" t="n">
        <v>14240</v>
      </c>
      <c r="G837" s="20" t="n">
        <v>3745.12</v>
      </c>
      <c r="H837" s="18" t="n">
        <v>10</v>
      </c>
      <c r="I837" s="20" t="n">
        <f aca="false">F837</f>
        <v>14240</v>
      </c>
      <c r="J837" s="22" t="n">
        <f aca="false">IFERROR(G837/F837,0)</f>
        <v>0.263</v>
      </c>
      <c r="K837" s="23" t="n">
        <f aca="false">MONTH(B837)</f>
        <v>12</v>
      </c>
    </row>
    <row r="838" customFormat="false" ht="15" hidden="false" customHeight="true" outlineLevel="0" collapsed="false">
      <c r="A838" s="18" t="s">
        <v>890</v>
      </c>
      <c r="B838" s="19" t="n">
        <v>45298</v>
      </c>
      <c r="C838" s="18" t="s">
        <v>19</v>
      </c>
      <c r="D838" s="18" t="s">
        <v>49</v>
      </c>
      <c r="E838" s="18" t="s">
        <v>50</v>
      </c>
      <c r="F838" s="20" t="n">
        <v>210</v>
      </c>
      <c r="G838" s="20" t="n">
        <v>72.45</v>
      </c>
      <c r="H838" s="18" t="n">
        <v>7</v>
      </c>
      <c r="I838" s="20" t="n">
        <f aca="false">F838</f>
        <v>210</v>
      </c>
      <c r="J838" s="22" t="n">
        <f aca="false">IFERROR(G838/F838,0)</f>
        <v>0.345</v>
      </c>
      <c r="K838" s="23" t="n">
        <f aca="false">MONTH(B838)</f>
        <v>1</v>
      </c>
    </row>
    <row r="839" customFormat="false" ht="15" hidden="false" customHeight="true" outlineLevel="0" collapsed="false">
      <c r="A839" s="18" t="s">
        <v>891</v>
      </c>
      <c r="B839" s="19" t="n">
        <v>45393</v>
      </c>
      <c r="C839" s="18" t="s">
        <v>27</v>
      </c>
      <c r="D839" s="18" t="s">
        <v>52</v>
      </c>
      <c r="E839" s="18" t="s">
        <v>32</v>
      </c>
      <c r="F839" s="20" t="n">
        <v>23769</v>
      </c>
      <c r="G839" s="20" t="n">
        <v>3446.5</v>
      </c>
      <c r="H839" s="18" t="n">
        <v>9</v>
      </c>
      <c r="I839" s="20" t="n">
        <f aca="false">F839</f>
        <v>23769</v>
      </c>
      <c r="J839" s="22" t="n">
        <f aca="false">IFERROR(G839/F839,0)</f>
        <v>0.144999789641971</v>
      </c>
      <c r="K839" s="23" t="n">
        <f aca="false">MONTH(B839)</f>
        <v>4</v>
      </c>
    </row>
    <row r="840" customFormat="false" ht="15" hidden="false" customHeight="true" outlineLevel="0" collapsed="false">
      <c r="A840" s="18" t="s">
        <v>892</v>
      </c>
      <c r="B840" s="19" t="n">
        <v>45585</v>
      </c>
      <c r="C840" s="18" t="s">
        <v>27</v>
      </c>
      <c r="D840" s="18" t="s">
        <v>55</v>
      </c>
      <c r="E840" s="18" t="s">
        <v>32</v>
      </c>
      <c r="F840" s="20" t="n">
        <v>330392</v>
      </c>
      <c r="G840" s="20" t="n">
        <v>37003.9</v>
      </c>
      <c r="H840" s="18" t="n">
        <v>8</v>
      </c>
      <c r="I840" s="20" t="n">
        <f aca="false">F840</f>
        <v>330392</v>
      </c>
      <c r="J840" s="22" t="n">
        <f aca="false">IFERROR(G840/F840,0)</f>
        <v>0.111999987893169</v>
      </c>
      <c r="K840" s="23" t="n">
        <f aca="false">MONTH(B840)</f>
        <v>10</v>
      </c>
    </row>
    <row r="841" customFormat="false" ht="15" hidden="false" customHeight="true" outlineLevel="0" collapsed="false">
      <c r="A841" s="18" t="s">
        <v>893</v>
      </c>
      <c r="B841" s="19" t="n">
        <v>45622</v>
      </c>
      <c r="C841" s="18" t="s">
        <v>23</v>
      </c>
      <c r="D841" s="18" t="s">
        <v>93</v>
      </c>
      <c r="E841" s="18" t="s">
        <v>32</v>
      </c>
      <c r="F841" s="20" t="n">
        <v>13542</v>
      </c>
      <c r="G841" s="20" t="n">
        <v>1381.28</v>
      </c>
      <c r="H841" s="18" t="n">
        <v>3</v>
      </c>
      <c r="I841" s="20" t="n">
        <f aca="false">F841</f>
        <v>13542</v>
      </c>
      <c r="J841" s="22" t="n">
        <f aca="false">IFERROR(G841/F841,0)</f>
        <v>0.101999704622655</v>
      </c>
      <c r="K841" s="23" t="n">
        <f aca="false">MONTH(B841)</f>
        <v>11</v>
      </c>
    </row>
    <row r="842" customFormat="false" ht="15" hidden="false" customHeight="true" outlineLevel="0" collapsed="false">
      <c r="A842" s="18" t="s">
        <v>894</v>
      </c>
      <c r="B842" s="19" t="n">
        <v>45372</v>
      </c>
      <c r="C842" s="18" t="s">
        <v>39</v>
      </c>
      <c r="D842" s="18" t="s">
        <v>44</v>
      </c>
      <c r="E842" s="18" t="s">
        <v>32</v>
      </c>
      <c r="F842" s="20" t="n">
        <v>13626</v>
      </c>
      <c r="G842" s="20" t="n">
        <v>1308.1</v>
      </c>
      <c r="H842" s="18" t="n">
        <v>9</v>
      </c>
      <c r="I842" s="20" t="n">
        <f aca="false">F842</f>
        <v>13626</v>
      </c>
      <c r="J842" s="22" t="n">
        <f aca="false">IFERROR(G842/F842,0)</f>
        <v>0.0960002935564362</v>
      </c>
      <c r="K842" s="23" t="n">
        <f aca="false">MONTH(B842)</f>
        <v>3</v>
      </c>
    </row>
    <row r="843" customFormat="false" ht="15" hidden="false" customHeight="true" outlineLevel="0" collapsed="false">
      <c r="A843" s="18" t="s">
        <v>895</v>
      </c>
      <c r="B843" s="19" t="n">
        <v>45609</v>
      </c>
      <c r="C843" s="18" t="s">
        <v>19</v>
      </c>
      <c r="D843" s="18" t="s">
        <v>34</v>
      </c>
      <c r="E843" s="18" t="s">
        <v>25</v>
      </c>
      <c r="F843" s="20" t="n">
        <v>1494</v>
      </c>
      <c r="G843" s="20" t="n">
        <v>494.51</v>
      </c>
      <c r="H843" s="18" t="n">
        <v>3</v>
      </c>
      <c r="I843" s="20" t="n">
        <f aca="false">F843</f>
        <v>1494</v>
      </c>
      <c r="J843" s="22" t="n">
        <f aca="false">IFERROR(G843/F843,0)</f>
        <v>0.330997322623829</v>
      </c>
      <c r="K843" s="23" t="n">
        <f aca="false">MONTH(B843)</f>
        <v>11</v>
      </c>
    </row>
    <row r="844" customFormat="false" ht="15" hidden="false" customHeight="true" outlineLevel="0" collapsed="false">
      <c r="A844" s="18" t="s">
        <v>896</v>
      </c>
      <c r="B844" s="19" t="n">
        <v>45318</v>
      </c>
      <c r="C844" s="18" t="s">
        <v>41</v>
      </c>
      <c r="D844" s="18" t="s">
        <v>49</v>
      </c>
      <c r="E844" s="18" t="s">
        <v>50</v>
      </c>
      <c r="F844" s="20" t="n">
        <v>480</v>
      </c>
      <c r="G844" s="20" t="n">
        <v>105.6</v>
      </c>
      <c r="H844" s="18" t="n">
        <v>6</v>
      </c>
      <c r="I844" s="20" t="n">
        <f aca="false">F844</f>
        <v>480</v>
      </c>
      <c r="J844" s="22" t="n">
        <f aca="false">IFERROR(G844/F844,0)</f>
        <v>0.22</v>
      </c>
      <c r="K844" s="23" t="n">
        <f aca="false">MONTH(B844)</f>
        <v>1</v>
      </c>
    </row>
    <row r="845" customFormat="false" ht="15" hidden="false" customHeight="true" outlineLevel="0" collapsed="false">
      <c r="A845" s="18" t="s">
        <v>897</v>
      </c>
      <c r="B845" s="19" t="n">
        <v>45592</v>
      </c>
      <c r="C845" s="18" t="s">
        <v>23</v>
      </c>
      <c r="D845" s="18" t="s">
        <v>20</v>
      </c>
      <c r="E845" s="18" t="s">
        <v>21</v>
      </c>
      <c r="F845" s="20" t="n">
        <v>51376</v>
      </c>
      <c r="G845" s="20" t="n">
        <v>11970.61</v>
      </c>
      <c r="H845" s="18" t="n">
        <v>8</v>
      </c>
      <c r="I845" s="20" t="n">
        <f aca="false">F845</f>
        <v>51376</v>
      </c>
      <c r="J845" s="22" t="n">
        <f aca="false">IFERROR(G845/F845,0)</f>
        <v>0.233000038928683</v>
      </c>
      <c r="K845" s="23" t="n">
        <f aca="false">MONTH(B845)</f>
        <v>10</v>
      </c>
    </row>
    <row r="846" customFormat="false" ht="15" hidden="false" customHeight="true" outlineLevel="0" collapsed="false">
      <c r="A846" s="18" t="s">
        <v>898</v>
      </c>
      <c r="B846" s="19" t="n">
        <v>45359</v>
      </c>
      <c r="C846" s="18" t="s">
        <v>27</v>
      </c>
      <c r="D846" s="18" t="s">
        <v>46</v>
      </c>
      <c r="E846" s="18" t="s">
        <v>29</v>
      </c>
      <c r="F846" s="20" t="n">
        <v>66402</v>
      </c>
      <c r="G846" s="20" t="n">
        <v>10292.31</v>
      </c>
      <c r="H846" s="18" t="n">
        <v>7</v>
      </c>
      <c r="I846" s="20" t="n">
        <f aca="false">F846</f>
        <v>66402</v>
      </c>
      <c r="J846" s="22" t="n">
        <f aca="false">IFERROR(G846/F846,0)</f>
        <v>0.155</v>
      </c>
      <c r="K846" s="23" t="n">
        <f aca="false">MONTH(B846)</f>
        <v>3</v>
      </c>
    </row>
    <row r="847" customFormat="false" ht="15" hidden="false" customHeight="true" outlineLevel="0" collapsed="false">
      <c r="A847" s="18" t="s">
        <v>899</v>
      </c>
      <c r="B847" s="19" t="n">
        <v>45538</v>
      </c>
      <c r="C847" s="18" t="s">
        <v>39</v>
      </c>
      <c r="D847" s="18" t="s">
        <v>52</v>
      </c>
      <c r="E847" s="18" t="s">
        <v>32</v>
      </c>
      <c r="F847" s="20" t="n">
        <v>46350</v>
      </c>
      <c r="G847" s="20" t="n">
        <v>6303.6</v>
      </c>
      <c r="H847" s="18" t="n">
        <v>6</v>
      </c>
      <c r="I847" s="20" t="n">
        <f aca="false">F847</f>
        <v>46350</v>
      </c>
      <c r="J847" s="22" t="n">
        <f aca="false">IFERROR(G847/F847,0)</f>
        <v>0.136</v>
      </c>
      <c r="K847" s="23" t="n">
        <f aca="false">MONTH(B847)</f>
        <v>9</v>
      </c>
    </row>
    <row r="848" customFormat="false" ht="15" hidden="false" customHeight="true" outlineLevel="0" collapsed="false">
      <c r="A848" s="18" t="s">
        <v>900</v>
      </c>
      <c r="B848" s="19" t="n">
        <v>45461</v>
      </c>
      <c r="C848" s="18" t="s">
        <v>19</v>
      </c>
      <c r="D848" s="18" t="s">
        <v>93</v>
      </c>
      <c r="E848" s="18" t="s">
        <v>32</v>
      </c>
      <c r="F848" s="20" t="n">
        <v>12556</v>
      </c>
      <c r="G848" s="20" t="n">
        <v>1368.6</v>
      </c>
      <c r="H848" s="18" t="n">
        <v>4</v>
      </c>
      <c r="I848" s="20" t="n">
        <f aca="false">F848</f>
        <v>12556</v>
      </c>
      <c r="J848" s="22" t="n">
        <f aca="false">IFERROR(G848/F848,0)</f>
        <v>0.108999681427206</v>
      </c>
      <c r="K848" s="23" t="n">
        <f aca="false">MONTH(B848)</f>
        <v>6</v>
      </c>
    </row>
    <row r="849" customFormat="false" ht="15" hidden="false" customHeight="true" outlineLevel="0" collapsed="false">
      <c r="A849" s="18" t="s">
        <v>901</v>
      </c>
      <c r="B849" s="19" t="n">
        <v>45516</v>
      </c>
      <c r="C849" s="18" t="s">
        <v>27</v>
      </c>
      <c r="D849" s="18" t="s">
        <v>28</v>
      </c>
      <c r="E849" s="18" t="s">
        <v>29</v>
      </c>
      <c r="F849" s="20" t="n">
        <v>62955</v>
      </c>
      <c r="G849" s="20" t="n">
        <v>7302.78</v>
      </c>
      <c r="H849" s="18" t="n">
        <v>9</v>
      </c>
      <c r="I849" s="20" t="n">
        <f aca="false">F849</f>
        <v>62955</v>
      </c>
      <c r="J849" s="22" t="n">
        <f aca="false">IFERROR(G849/F849,0)</f>
        <v>0.116</v>
      </c>
      <c r="K849" s="23" t="n">
        <f aca="false">MONTH(B849)</f>
        <v>8</v>
      </c>
    </row>
    <row r="850" customFormat="false" ht="15" hidden="false" customHeight="true" outlineLevel="0" collapsed="false">
      <c r="A850" s="18" t="s">
        <v>902</v>
      </c>
      <c r="B850" s="19" t="n">
        <v>45381</v>
      </c>
      <c r="C850" s="18" t="s">
        <v>41</v>
      </c>
      <c r="D850" s="18" t="s">
        <v>86</v>
      </c>
      <c r="E850" s="18" t="s">
        <v>21</v>
      </c>
      <c r="F850" s="20" t="n">
        <v>356112</v>
      </c>
      <c r="G850" s="20" t="n">
        <v>57334.03</v>
      </c>
      <c r="H850" s="18" t="n">
        <v>6</v>
      </c>
      <c r="I850" s="20" t="n">
        <f aca="false">F850</f>
        <v>356112</v>
      </c>
      <c r="J850" s="22" t="n">
        <f aca="false">IFERROR(G850/F850,0)</f>
        <v>0.160999994383789</v>
      </c>
      <c r="K850" s="23" t="n">
        <f aca="false">MONTH(B850)</f>
        <v>3</v>
      </c>
    </row>
    <row r="851" customFormat="false" ht="15" hidden="false" customHeight="true" outlineLevel="0" collapsed="false">
      <c r="A851" s="18" t="s">
        <v>903</v>
      </c>
      <c r="B851" s="19" t="n">
        <v>45591</v>
      </c>
      <c r="C851" s="18" t="s">
        <v>41</v>
      </c>
      <c r="D851" s="18" t="s">
        <v>36</v>
      </c>
      <c r="E851" s="18" t="s">
        <v>25</v>
      </c>
      <c r="F851" s="20" t="n">
        <v>46160</v>
      </c>
      <c r="G851" s="20" t="n">
        <v>11309.2</v>
      </c>
      <c r="H851" s="18" t="n">
        <v>10</v>
      </c>
      <c r="I851" s="20" t="n">
        <f aca="false">F851</f>
        <v>46160</v>
      </c>
      <c r="J851" s="22" t="n">
        <f aca="false">IFERROR(G851/F851,0)</f>
        <v>0.245</v>
      </c>
      <c r="K851" s="23" t="n">
        <f aca="false">MONTH(B851)</f>
        <v>10</v>
      </c>
    </row>
    <row r="852" customFormat="false" ht="15" hidden="false" customHeight="true" outlineLevel="0" collapsed="false">
      <c r="A852" s="18" t="s">
        <v>904</v>
      </c>
      <c r="B852" s="19" t="n">
        <v>45400</v>
      </c>
      <c r="C852" s="18" t="s">
        <v>41</v>
      </c>
      <c r="D852" s="18" t="s">
        <v>72</v>
      </c>
      <c r="E852" s="18" t="s">
        <v>29</v>
      </c>
      <c r="F852" s="20" t="n">
        <v>69520</v>
      </c>
      <c r="G852" s="20" t="n">
        <v>13139.28</v>
      </c>
      <c r="H852" s="18" t="n">
        <v>5</v>
      </c>
      <c r="I852" s="20" t="n">
        <f aca="false">F852</f>
        <v>69520</v>
      </c>
      <c r="J852" s="22" t="n">
        <f aca="false">IFERROR(G852/F852,0)</f>
        <v>0.189</v>
      </c>
      <c r="K852" s="23" t="n">
        <f aca="false">MONTH(B852)</f>
        <v>4</v>
      </c>
    </row>
    <row r="853" customFormat="false" ht="15" hidden="false" customHeight="true" outlineLevel="0" collapsed="false">
      <c r="A853" s="18" t="s">
        <v>905</v>
      </c>
      <c r="B853" s="19" t="n">
        <v>45524</v>
      </c>
      <c r="C853" s="18" t="s">
        <v>27</v>
      </c>
      <c r="D853" s="18" t="s">
        <v>49</v>
      </c>
      <c r="E853" s="18" t="s">
        <v>50</v>
      </c>
      <c r="F853" s="20" t="n">
        <v>120</v>
      </c>
      <c r="G853" s="20" t="n">
        <v>34.2</v>
      </c>
      <c r="H853" s="18" t="n">
        <v>2</v>
      </c>
      <c r="I853" s="20" t="n">
        <f aca="false">F853</f>
        <v>120</v>
      </c>
      <c r="J853" s="22" t="n">
        <f aca="false">IFERROR(G853/F853,0)</f>
        <v>0.285</v>
      </c>
      <c r="K853" s="23" t="n">
        <f aca="false">MONTH(B853)</f>
        <v>8</v>
      </c>
    </row>
    <row r="854" customFormat="false" ht="15" hidden="false" customHeight="true" outlineLevel="0" collapsed="false">
      <c r="A854" s="18" t="s">
        <v>906</v>
      </c>
      <c r="B854" s="19" t="n">
        <v>45497</v>
      </c>
      <c r="C854" s="18" t="s">
        <v>41</v>
      </c>
      <c r="D854" s="18" t="s">
        <v>62</v>
      </c>
      <c r="E854" s="18" t="s">
        <v>50</v>
      </c>
      <c r="F854" s="20" t="n">
        <v>595</v>
      </c>
      <c r="G854" s="20" t="n">
        <v>157.68</v>
      </c>
      <c r="H854" s="18" t="n">
        <v>5</v>
      </c>
      <c r="I854" s="20" t="n">
        <f aca="false">F854</f>
        <v>595</v>
      </c>
      <c r="J854" s="22" t="n">
        <f aca="false">IFERROR(G854/F854,0)</f>
        <v>0.265008403361345</v>
      </c>
      <c r="K854" s="23" t="n">
        <f aca="false">MONTH(B854)</f>
        <v>7</v>
      </c>
    </row>
    <row r="855" customFormat="false" ht="15" hidden="false" customHeight="true" outlineLevel="0" collapsed="false">
      <c r="A855" s="18" t="s">
        <v>907</v>
      </c>
      <c r="B855" s="19" t="n">
        <v>45448</v>
      </c>
      <c r="C855" s="18" t="s">
        <v>19</v>
      </c>
      <c r="D855" s="18" t="s">
        <v>42</v>
      </c>
      <c r="E855" s="18" t="s">
        <v>21</v>
      </c>
      <c r="F855" s="20" t="n">
        <v>31634</v>
      </c>
      <c r="G855" s="20" t="n">
        <v>4586.93</v>
      </c>
      <c r="H855" s="18" t="n">
        <v>2</v>
      </c>
      <c r="I855" s="20" t="n">
        <f aca="false">F855</f>
        <v>31634</v>
      </c>
      <c r="J855" s="22" t="n">
        <f aca="false">IFERROR(G855/F855,0)</f>
        <v>0.145</v>
      </c>
      <c r="K855" s="23" t="n">
        <f aca="false">MONTH(B855)</f>
        <v>6</v>
      </c>
    </row>
    <row r="856" customFormat="false" ht="15" hidden="false" customHeight="true" outlineLevel="0" collapsed="false">
      <c r="A856" s="18" t="s">
        <v>908</v>
      </c>
      <c r="B856" s="19" t="n">
        <v>45478</v>
      </c>
      <c r="C856" s="18" t="s">
        <v>27</v>
      </c>
      <c r="D856" s="18" t="s">
        <v>93</v>
      </c>
      <c r="E856" s="18" t="s">
        <v>32</v>
      </c>
      <c r="F856" s="20" t="n">
        <v>6237</v>
      </c>
      <c r="G856" s="20" t="n">
        <v>842</v>
      </c>
      <c r="H856" s="18" t="n">
        <v>3</v>
      </c>
      <c r="I856" s="20" t="n">
        <f aca="false">F856</f>
        <v>6237</v>
      </c>
      <c r="J856" s="22" t="n">
        <f aca="false">IFERROR(G856/F856,0)</f>
        <v>0.135000801667468</v>
      </c>
      <c r="K856" s="23" t="n">
        <f aca="false">MONTH(B856)</f>
        <v>7</v>
      </c>
    </row>
    <row r="857" customFormat="false" ht="15" hidden="false" customHeight="true" outlineLevel="0" collapsed="false">
      <c r="A857" s="18" t="s">
        <v>909</v>
      </c>
      <c r="B857" s="19" t="n">
        <v>45646</v>
      </c>
      <c r="C857" s="18" t="s">
        <v>27</v>
      </c>
      <c r="D857" s="18" t="s">
        <v>75</v>
      </c>
      <c r="E857" s="18" t="s">
        <v>29</v>
      </c>
      <c r="F857" s="20" t="n">
        <v>4290</v>
      </c>
      <c r="G857" s="20" t="n">
        <v>793.65</v>
      </c>
      <c r="H857" s="18" t="n">
        <v>2</v>
      </c>
      <c r="I857" s="20" t="n">
        <f aca="false">F857</f>
        <v>4290</v>
      </c>
      <c r="J857" s="22" t="n">
        <f aca="false">IFERROR(G857/F857,0)</f>
        <v>0.185</v>
      </c>
      <c r="K857" s="23" t="n">
        <f aca="false">MONTH(B857)</f>
        <v>12</v>
      </c>
    </row>
    <row r="858" customFormat="false" ht="15" hidden="false" customHeight="true" outlineLevel="0" collapsed="false">
      <c r="A858" s="18" t="s">
        <v>910</v>
      </c>
      <c r="B858" s="19" t="n">
        <v>45512</v>
      </c>
      <c r="C858" s="18" t="s">
        <v>39</v>
      </c>
      <c r="D858" s="18" t="s">
        <v>52</v>
      </c>
      <c r="E858" s="18" t="s">
        <v>32</v>
      </c>
      <c r="F858" s="20" t="n">
        <v>10190</v>
      </c>
      <c r="G858" s="20" t="n">
        <v>968.05</v>
      </c>
      <c r="H858" s="18" t="n">
        <v>2</v>
      </c>
      <c r="I858" s="20" t="n">
        <f aca="false">F858</f>
        <v>10190</v>
      </c>
      <c r="J858" s="22" t="n">
        <f aca="false">IFERROR(G858/F858,0)</f>
        <v>0.095</v>
      </c>
      <c r="K858" s="23" t="n">
        <f aca="false">MONTH(B858)</f>
        <v>8</v>
      </c>
    </row>
    <row r="859" customFormat="false" ht="15" hidden="false" customHeight="true" outlineLevel="0" collapsed="false">
      <c r="A859" s="18" t="s">
        <v>911</v>
      </c>
      <c r="B859" s="19" t="n">
        <v>45568</v>
      </c>
      <c r="C859" s="18" t="s">
        <v>23</v>
      </c>
      <c r="D859" s="18" t="s">
        <v>64</v>
      </c>
      <c r="E859" s="18" t="s">
        <v>32</v>
      </c>
      <c r="F859" s="20" t="n">
        <v>303018</v>
      </c>
      <c r="G859" s="20" t="n">
        <v>28180.67</v>
      </c>
      <c r="H859" s="18" t="n">
        <v>6</v>
      </c>
      <c r="I859" s="20" t="n">
        <f aca="false">F859</f>
        <v>303018</v>
      </c>
      <c r="J859" s="22" t="n">
        <f aca="false">IFERROR(G859/F859,0)</f>
        <v>0.0929999867994641</v>
      </c>
      <c r="K859" s="23" t="n">
        <f aca="false">MONTH(B859)</f>
        <v>10</v>
      </c>
    </row>
    <row r="860" customFormat="false" ht="15" hidden="false" customHeight="true" outlineLevel="0" collapsed="false">
      <c r="A860" s="18" t="s">
        <v>912</v>
      </c>
      <c r="B860" s="19" t="n">
        <v>45632</v>
      </c>
      <c r="C860" s="18" t="s">
        <v>39</v>
      </c>
      <c r="D860" s="18" t="s">
        <v>36</v>
      </c>
      <c r="E860" s="18" t="s">
        <v>25</v>
      </c>
      <c r="F860" s="20" t="n">
        <v>8680</v>
      </c>
      <c r="G860" s="20" t="n">
        <v>2213.4</v>
      </c>
      <c r="H860" s="18" t="n">
        <v>4</v>
      </c>
      <c r="I860" s="20" t="n">
        <f aca="false">F860</f>
        <v>8680</v>
      </c>
      <c r="J860" s="22" t="n">
        <f aca="false">IFERROR(G860/F860,0)</f>
        <v>0.255</v>
      </c>
      <c r="K860" s="23" t="n">
        <f aca="false">MONTH(B860)</f>
        <v>12</v>
      </c>
    </row>
    <row r="861" customFormat="false" ht="15" hidden="false" customHeight="true" outlineLevel="0" collapsed="false">
      <c r="A861" s="18" t="s">
        <v>913</v>
      </c>
      <c r="B861" s="19" t="n">
        <v>45629</v>
      </c>
      <c r="C861" s="18" t="s">
        <v>41</v>
      </c>
      <c r="D861" s="18" t="s">
        <v>91</v>
      </c>
      <c r="E861" s="18" t="s">
        <v>25</v>
      </c>
      <c r="F861" s="20" t="n">
        <v>12116</v>
      </c>
      <c r="G861" s="20" t="n">
        <v>3719.61</v>
      </c>
      <c r="H861" s="18" t="n">
        <v>4</v>
      </c>
      <c r="I861" s="20" t="n">
        <f aca="false">F861</f>
        <v>12116</v>
      </c>
      <c r="J861" s="22" t="n">
        <f aca="false">IFERROR(G861/F861,0)</f>
        <v>0.30699983492902</v>
      </c>
      <c r="K861" s="23" t="n">
        <f aca="false">MONTH(B861)</f>
        <v>12</v>
      </c>
    </row>
    <row r="862" customFormat="false" ht="15" hidden="false" customHeight="true" outlineLevel="0" collapsed="false">
      <c r="A862" s="18" t="s">
        <v>914</v>
      </c>
      <c r="B862" s="19" t="n">
        <v>45644</v>
      </c>
      <c r="C862" s="18" t="s">
        <v>41</v>
      </c>
      <c r="D862" s="18" t="s">
        <v>120</v>
      </c>
      <c r="E862" s="18" t="s">
        <v>29</v>
      </c>
      <c r="F862" s="20" t="n">
        <v>82800</v>
      </c>
      <c r="G862" s="20" t="n">
        <v>16311.6</v>
      </c>
      <c r="H862" s="18" t="n">
        <v>8</v>
      </c>
      <c r="I862" s="20" t="n">
        <f aca="false">F862</f>
        <v>82800</v>
      </c>
      <c r="J862" s="22" t="n">
        <f aca="false">IFERROR(G862/F862,0)</f>
        <v>0.197</v>
      </c>
      <c r="K862" s="23" t="n">
        <f aca="false">MONTH(B862)</f>
        <v>12</v>
      </c>
    </row>
    <row r="863" customFormat="false" ht="15" hidden="false" customHeight="true" outlineLevel="0" collapsed="false">
      <c r="A863" s="18" t="s">
        <v>915</v>
      </c>
      <c r="B863" s="19" t="n">
        <v>45640</v>
      </c>
      <c r="C863" s="18" t="s">
        <v>19</v>
      </c>
      <c r="D863" s="18" t="s">
        <v>120</v>
      </c>
      <c r="E863" s="18" t="s">
        <v>29</v>
      </c>
      <c r="F863" s="20" t="n">
        <v>73200</v>
      </c>
      <c r="G863" s="20" t="n">
        <v>14347.2</v>
      </c>
      <c r="H863" s="18" t="n">
        <v>8</v>
      </c>
      <c r="I863" s="20" t="n">
        <f aca="false">F863</f>
        <v>73200</v>
      </c>
      <c r="J863" s="22" t="n">
        <f aca="false">IFERROR(G863/F863,0)</f>
        <v>0.196</v>
      </c>
      <c r="K863" s="23" t="n">
        <f aca="false">MONTH(B863)</f>
        <v>12</v>
      </c>
    </row>
    <row r="864" customFormat="false" ht="15" hidden="false" customHeight="true" outlineLevel="0" collapsed="false">
      <c r="A864" s="18" t="s">
        <v>916</v>
      </c>
      <c r="B864" s="19" t="n">
        <v>45382</v>
      </c>
      <c r="C864" s="18" t="s">
        <v>23</v>
      </c>
      <c r="D864" s="18" t="s">
        <v>44</v>
      </c>
      <c r="E864" s="18" t="s">
        <v>32</v>
      </c>
      <c r="F864" s="20" t="n">
        <v>5244</v>
      </c>
      <c r="G864" s="20" t="n">
        <v>624.04</v>
      </c>
      <c r="H864" s="18" t="n">
        <v>3</v>
      </c>
      <c r="I864" s="20" t="n">
        <f aca="false">F864</f>
        <v>5244</v>
      </c>
      <c r="J864" s="22" t="n">
        <f aca="false">IFERROR(G864/F864,0)</f>
        <v>0.119000762776506</v>
      </c>
      <c r="K864" s="23" t="n">
        <f aca="false">MONTH(B864)</f>
        <v>3</v>
      </c>
    </row>
    <row r="865" customFormat="false" ht="15" hidden="false" customHeight="true" outlineLevel="0" collapsed="false">
      <c r="A865" s="18" t="s">
        <v>917</v>
      </c>
      <c r="B865" s="19" t="n">
        <v>45511</v>
      </c>
      <c r="C865" s="18" t="s">
        <v>27</v>
      </c>
      <c r="D865" s="18" t="s">
        <v>88</v>
      </c>
      <c r="E865" s="18" t="s">
        <v>50</v>
      </c>
      <c r="F865" s="20" t="n">
        <v>69</v>
      </c>
      <c r="G865" s="20" t="n">
        <v>21.18</v>
      </c>
      <c r="H865" s="18" t="n">
        <v>1</v>
      </c>
      <c r="I865" s="20" t="n">
        <f aca="false">F865</f>
        <v>69</v>
      </c>
      <c r="J865" s="22" t="n">
        <f aca="false">IFERROR(G865/F865,0)</f>
        <v>0.30695652173913</v>
      </c>
      <c r="K865" s="23" t="n">
        <f aca="false">MONTH(B865)</f>
        <v>8</v>
      </c>
    </row>
    <row r="866" customFormat="false" ht="15" hidden="false" customHeight="true" outlineLevel="0" collapsed="false">
      <c r="A866" s="18" t="s">
        <v>918</v>
      </c>
      <c r="B866" s="19" t="n">
        <v>45568</v>
      </c>
      <c r="C866" s="18" t="s">
        <v>39</v>
      </c>
      <c r="D866" s="18" t="s">
        <v>36</v>
      </c>
      <c r="E866" s="18" t="s">
        <v>25</v>
      </c>
      <c r="F866" s="20" t="n">
        <v>2647</v>
      </c>
      <c r="G866" s="20" t="n">
        <v>664.4</v>
      </c>
      <c r="H866" s="18" t="n">
        <v>1</v>
      </c>
      <c r="I866" s="20" t="n">
        <f aca="false">F866</f>
        <v>2647</v>
      </c>
      <c r="J866" s="22" t="n">
        <f aca="false">IFERROR(G866/F866,0)</f>
        <v>0.251001133358519</v>
      </c>
      <c r="K866" s="23" t="n">
        <f aca="false">MONTH(B866)</f>
        <v>10</v>
      </c>
    </row>
    <row r="867" customFormat="false" ht="15" hidden="false" customHeight="true" outlineLevel="0" collapsed="false">
      <c r="A867" s="18" t="s">
        <v>919</v>
      </c>
      <c r="B867" s="19" t="n">
        <v>45576</v>
      </c>
      <c r="C867" s="18" t="s">
        <v>27</v>
      </c>
      <c r="D867" s="18" t="s">
        <v>64</v>
      </c>
      <c r="E867" s="18" t="s">
        <v>32</v>
      </c>
      <c r="F867" s="20" t="n">
        <v>312960</v>
      </c>
      <c r="G867" s="20" t="n">
        <v>46005.12</v>
      </c>
      <c r="H867" s="18" t="n">
        <v>6</v>
      </c>
      <c r="I867" s="20" t="n">
        <f aca="false">F867</f>
        <v>312960</v>
      </c>
      <c r="J867" s="22" t="n">
        <f aca="false">IFERROR(G867/F867,0)</f>
        <v>0.147</v>
      </c>
      <c r="K867" s="23" t="n">
        <f aca="false">MONTH(B867)</f>
        <v>10</v>
      </c>
    </row>
    <row r="868" customFormat="false" ht="15" hidden="false" customHeight="true" outlineLevel="0" collapsed="false">
      <c r="A868" s="18" t="s">
        <v>920</v>
      </c>
      <c r="B868" s="19" t="n">
        <v>45516</v>
      </c>
      <c r="C868" s="18" t="s">
        <v>27</v>
      </c>
      <c r="D868" s="18" t="s">
        <v>70</v>
      </c>
      <c r="E868" s="18" t="s">
        <v>21</v>
      </c>
      <c r="F868" s="20" t="n">
        <v>39678</v>
      </c>
      <c r="G868" s="20" t="n">
        <v>4999.43</v>
      </c>
      <c r="H868" s="18" t="n">
        <v>2</v>
      </c>
      <c r="I868" s="20" t="n">
        <f aca="false">F868</f>
        <v>39678</v>
      </c>
      <c r="J868" s="22" t="n">
        <f aca="false">IFERROR(G868/F868,0)</f>
        <v>0.126000050405766</v>
      </c>
      <c r="K868" s="23" t="n">
        <f aca="false">MONTH(B868)</f>
        <v>8</v>
      </c>
    </row>
    <row r="869" customFormat="false" ht="15" hidden="false" customHeight="true" outlineLevel="0" collapsed="false">
      <c r="A869" s="18" t="s">
        <v>921</v>
      </c>
      <c r="B869" s="19" t="n">
        <v>45445</v>
      </c>
      <c r="C869" s="18" t="s">
        <v>41</v>
      </c>
      <c r="D869" s="18" t="s">
        <v>64</v>
      </c>
      <c r="E869" s="18" t="s">
        <v>32</v>
      </c>
      <c r="F869" s="20" t="n">
        <v>82062</v>
      </c>
      <c r="G869" s="20" t="n">
        <v>8944.76</v>
      </c>
      <c r="H869" s="18" t="n">
        <v>6</v>
      </c>
      <c r="I869" s="20" t="n">
        <f aca="false">F869</f>
        <v>82062</v>
      </c>
      <c r="J869" s="22" t="n">
        <f aca="false">IFERROR(G869/F869,0)</f>
        <v>0.109000024371816</v>
      </c>
      <c r="K869" s="23" t="n">
        <f aca="false">MONTH(B869)</f>
        <v>6</v>
      </c>
    </row>
    <row r="870" customFormat="false" ht="15" hidden="false" customHeight="true" outlineLevel="0" collapsed="false">
      <c r="A870" s="18" t="s">
        <v>922</v>
      </c>
      <c r="B870" s="19" t="n">
        <v>45588</v>
      </c>
      <c r="C870" s="18" t="s">
        <v>23</v>
      </c>
      <c r="D870" s="18" t="s">
        <v>42</v>
      </c>
      <c r="E870" s="18" t="s">
        <v>21</v>
      </c>
      <c r="F870" s="20" t="n">
        <v>13560</v>
      </c>
      <c r="G870" s="20" t="n">
        <v>2467.92</v>
      </c>
      <c r="H870" s="18" t="n">
        <v>1</v>
      </c>
      <c r="I870" s="20" t="n">
        <f aca="false">F870</f>
        <v>13560</v>
      </c>
      <c r="J870" s="22" t="n">
        <f aca="false">IFERROR(G870/F870,0)</f>
        <v>0.182</v>
      </c>
      <c r="K870" s="23" t="n">
        <f aca="false">MONTH(B870)</f>
        <v>10</v>
      </c>
    </row>
    <row r="871" customFormat="false" ht="15" hidden="false" customHeight="true" outlineLevel="0" collapsed="false">
      <c r="A871" s="18" t="s">
        <v>923</v>
      </c>
      <c r="B871" s="19" t="n">
        <v>45396</v>
      </c>
      <c r="C871" s="18" t="s">
        <v>19</v>
      </c>
      <c r="D871" s="18" t="s">
        <v>120</v>
      </c>
      <c r="E871" s="18" t="s">
        <v>29</v>
      </c>
      <c r="F871" s="20" t="n">
        <v>33363</v>
      </c>
      <c r="G871" s="20" t="n">
        <v>6205.52</v>
      </c>
      <c r="H871" s="18" t="n">
        <v>3</v>
      </c>
      <c r="I871" s="20" t="n">
        <f aca="false">F871</f>
        <v>33363</v>
      </c>
      <c r="J871" s="22" t="n">
        <f aca="false">IFERROR(G871/F871,0)</f>
        <v>0.186000059946648</v>
      </c>
      <c r="K871" s="23" t="n">
        <f aca="false">MONTH(B871)</f>
        <v>4</v>
      </c>
    </row>
    <row r="872" customFormat="false" ht="15" hidden="false" customHeight="true" outlineLevel="0" collapsed="false">
      <c r="A872" s="18" t="s">
        <v>924</v>
      </c>
      <c r="B872" s="19" t="n">
        <v>45577</v>
      </c>
      <c r="C872" s="18" t="s">
        <v>23</v>
      </c>
      <c r="D872" s="18" t="s">
        <v>28</v>
      </c>
      <c r="E872" s="18" t="s">
        <v>29</v>
      </c>
      <c r="F872" s="20" t="n">
        <v>19922</v>
      </c>
      <c r="G872" s="20" t="n">
        <v>2051.97</v>
      </c>
      <c r="H872" s="18" t="n">
        <v>7</v>
      </c>
      <c r="I872" s="20" t="n">
        <f aca="false">F872</f>
        <v>19922</v>
      </c>
      <c r="J872" s="22" t="n">
        <f aca="false">IFERROR(G872/F872,0)</f>
        <v>0.103000200783054</v>
      </c>
      <c r="K872" s="23" t="n">
        <f aca="false">MONTH(B872)</f>
        <v>10</v>
      </c>
    </row>
    <row r="873" customFormat="false" ht="15" hidden="false" customHeight="true" outlineLevel="0" collapsed="false">
      <c r="A873" s="18" t="s">
        <v>925</v>
      </c>
      <c r="B873" s="19" t="n">
        <v>45467</v>
      </c>
      <c r="C873" s="18" t="s">
        <v>41</v>
      </c>
      <c r="D873" s="18" t="s">
        <v>28</v>
      </c>
      <c r="E873" s="18" t="s">
        <v>29</v>
      </c>
      <c r="F873" s="20" t="n">
        <v>6960</v>
      </c>
      <c r="G873" s="20" t="n">
        <v>870</v>
      </c>
      <c r="H873" s="18" t="n">
        <v>3</v>
      </c>
      <c r="I873" s="20" t="n">
        <f aca="false">F873</f>
        <v>6960</v>
      </c>
      <c r="J873" s="22" t="n">
        <f aca="false">IFERROR(G873/F873,0)</f>
        <v>0.125</v>
      </c>
      <c r="K873" s="23" t="n">
        <f aca="false">MONTH(B873)</f>
        <v>6</v>
      </c>
    </row>
    <row r="874" customFormat="false" ht="15" hidden="false" customHeight="true" outlineLevel="0" collapsed="false">
      <c r="A874" s="18" t="s">
        <v>926</v>
      </c>
      <c r="B874" s="19" t="n">
        <v>45350</v>
      </c>
      <c r="C874" s="18" t="s">
        <v>19</v>
      </c>
      <c r="D874" s="18" t="s">
        <v>46</v>
      </c>
      <c r="E874" s="18" t="s">
        <v>29</v>
      </c>
      <c r="F874" s="20" t="n">
        <v>42120</v>
      </c>
      <c r="G874" s="20" t="n">
        <v>7792.2</v>
      </c>
      <c r="H874" s="18" t="n">
        <v>4</v>
      </c>
      <c r="I874" s="20" t="n">
        <f aca="false">F874</f>
        <v>42120</v>
      </c>
      <c r="J874" s="22" t="n">
        <f aca="false">IFERROR(G874/F874,0)</f>
        <v>0.185</v>
      </c>
      <c r="K874" s="23" t="n">
        <f aca="false">MONTH(B874)</f>
        <v>2</v>
      </c>
    </row>
    <row r="875" customFormat="false" ht="15" hidden="false" customHeight="true" outlineLevel="0" collapsed="false">
      <c r="A875" s="18" t="s">
        <v>927</v>
      </c>
      <c r="B875" s="19" t="n">
        <v>45532</v>
      </c>
      <c r="C875" s="18" t="s">
        <v>27</v>
      </c>
      <c r="D875" s="18" t="s">
        <v>75</v>
      </c>
      <c r="E875" s="18" t="s">
        <v>29</v>
      </c>
      <c r="F875" s="20" t="n">
        <v>9625</v>
      </c>
      <c r="G875" s="20" t="n">
        <v>1530.38</v>
      </c>
      <c r="H875" s="18" t="n">
        <v>5</v>
      </c>
      <c r="I875" s="20" t="n">
        <f aca="false">F875</f>
        <v>9625</v>
      </c>
      <c r="J875" s="22" t="n">
        <f aca="false">IFERROR(G875/F875,0)</f>
        <v>0.15900051948052</v>
      </c>
      <c r="K875" s="23" t="n">
        <f aca="false">MONTH(B875)</f>
        <v>8</v>
      </c>
    </row>
    <row r="876" customFormat="false" ht="15" hidden="false" customHeight="true" outlineLevel="0" collapsed="false">
      <c r="A876" s="18" t="s">
        <v>928</v>
      </c>
      <c r="B876" s="19" t="n">
        <v>45336</v>
      </c>
      <c r="C876" s="18" t="s">
        <v>41</v>
      </c>
      <c r="D876" s="18" t="s">
        <v>93</v>
      </c>
      <c r="E876" s="18" t="s">
        <v>32</v>
      </c>
      <c r="F876" s="20" t="n">
        <v>22318</v>
      </c>
      <c r="G876" s="20" t="n">
        <v>3414.65</v>
      </c>
      <c r="H876" s="18" t="n">
        <v>2</v>
      </c>
      <c r="I876" s="20" t="n">
        <f aca="false">F876</f>
        <v>22318</v>
      </c>
      <c r="J876" s="22" t="n">
        <f aca="false">IFERROR(G876/F876,0)</f>
        <v>0.152999820772471</v>
      </c>
      <c r="K876" s="23" t="n">
        <f aca="false">MONTH(B876)</f>
        <v>2</v>
      </c>
    </row>
    <row r="877" customFormat="false" ht="15" hidden="false" customHeight="true" outlineLevel="0" collapsed="false">
      <c r="A877" s="18" t="s">
        <v>929</v>
      </c>
      <c r="B877" s="19" t="n">
        <v>45487</v>
      </c>
      <c r="C877" s="18" t="s">
        <v>23</v>
      </c>
      <c r="D877" s="18" t="s">
        <v>34</v>
      </c>
      <c r="E877" s="18" t="s">
        <v>25</v>
      </c>
      <c r="F877" s="20" t="n">
        <v>5276</v>
      </c>
      <c r="G877" s="20" t="n">
        <v>1756.91</v>
      </c>
      <c r="H877" s="18" t="n">
        <v>4</v>
      </c>
      <c r="I877" s="20" t="n">
        <f aca="false">F877</f>
        <v>5276</v>
      </c>
      <c r="J877" s="22" t="n">
        <f aca="false">IFERROR(G877/F877,0)</f>
        <v>0.333000379075057</v>
      </c>
      <c r="K877" s="23" t="n">
        <f aca="false">MONTH(B877)</f>
        <v>7</v>
      </c>
    </row>
    <row r="878" customFormat="false" ht="15" hidden="false" customHeight="true" outlineLevel="0" collapsed="false">
      <c r="A878" s="18" t="s">
        <v>930</v>
      </c>
      <c r="B878" s="19" t="n">
        <v>45622</v>
      </c>
      <c r="C878" s="18" t="s">
        <v>39</v>
      </c>
      <c r="D878" s="18" t="s">
        <v>42</v>
      </c>
      <c r="E878" s="18" t="s">
        <v>21</v>
      </c>
      <c r="F878" s="20" t="n">
        <v>12798</v>
      </c>
      <c r="G878" s="20" t="n">
        <v>1958.09</v>
      </c>
      <c r="H878" s="18" t="n">
        <v>2</v>
      </c>
      <c r="I878" s="20" t="n">
        <f aca="false">F878</f>
        <v>12798</v>
      </c>
      <c r="J878" s="22" t="n">
        <f aca="false">IFERROR(G878/F878,0)</f>
        <v>0.152999687451164</v>
      </c>
      <c r="K878" s="23" t="n">
        <f aca="false">MONTH(B878)</f>
        <v>11</v>
      </c>
    </row>
    <row r="879" customFormat="false" ht="15" hidden="false" customHeight="true" outlineLevel="0" collapsed="false">
      <c r="A879" s="18" t="s">
        <v>931</v>
      </c>
      <c r="B879" s="19" t="n">
        <v>45557</v>
      </c>
      <c r="C879" s="18" t="s">
        <v>19</v>
      </c>
      <c r="D879" s="18" t="s">
        <v>20</v>
      </c>
      <c r="E879" s="18" t="s">
        <v>21</v>
      </c>
      <c r="F879" s="20" t="n">
        <v>15844</v>
      </c>
      <c r="G879" s="20" t="n">
        <v>3137.11</v>
      </c>
      <c r="H879" s="18" t="n">
        <v>1</v>
      </c>
      <c r="I879" s="20" t="n">
        <f aca="false">F879</f>
        <v>15844</v>
      </c>
      <c r="J879" s="22" t="n">
        <f aca="false">IFERROR(G879/F879,0)</f>
        <v>0.19799987376925</v>
      </c>
      <c r="K879" s="23" t="n">
        <f aca="false">MONTH(B879)</f>
        <v>9</v>
      </c>
    </row>
    <row r="880" customFormat="false" ht="15" hidden="false" customHeight="true" outlineLevel="0" collapsed="false">
      <c r="A880" s="18" t="s">
        <v>932</v>
      </c>
      <c r="B880" s="19" t="n">
        <v>45380</v>
      </c>
      <c r="C880" s="18" t="s">
        <v>39</v>
      </c>
      <c r="D880" s="18" t="s">
        <v>42</v>
      </c>
      <c r="E880" s="18" t="s">
        <v>21</v>
      </c>
      <c r="F880" s="20" t="n">
        <v>92100</v>
      </c>
      <c r="G880" s="20" t="n">
        <v>20722.5</v>
      </c>
      <c r="H880" s="18" t="n">
        <v>10</v>
      </c>
      <c r="I880" s="20" t="n">
        <f aca="false">F880</f>
        <v>92100</v>
      </c>
      <c r="J880" s="22" t="n">
        <f aca="false">IFERROR(G880/F880,0)</f>
        <v>0.225</v>
      </c>
      <c r="K880" s="23" t="n">
        <f aca="false">MONTH(B880)</f>
        <v>3</v>
      </c>
    </row>
    <row r="881" customFormat="false" ht="15" hidden="false" customHeight="true" outlineLevel="0" collapsed="false">
      <c r="A881" s="18" t="s">
        <v>933</v>
      </c>
      <c r="B881" s="19" t="n">
        <v>45445</v>
      </c>
      <c r="C881" s="18" t="s">
        <v>23</v>
      </c>
      <c r="D881" s="18" t="s">
        <v>70</v>
      </c>
      <c r="E881" s="18" t="s">
        <v>21</v>
      </c>
      <c r="F881" s="20" t="n">
        <v>334269</v>
      </c>
      <c r="G881" s="20" t="n">
        <v>62174.03</v>
      </c>
      <c r="H881" s="18" t="n">
        <v>9</v>
      </c>
      <c r="I881" s="20" t="n">
        <f aca="false">F881</f>
        <v>334269</v>
      </c>
      <c r="J881" s="22" t="n">
        <f aca="false">IFERROR(G881/F881,0)</f>
        <v>0.18599998803359</v>
      </c>
      <c r="K881" s="23" t="n">
        <f aca="false">MONTH(B881)</f>
        <v>6</v>
      </c>
    </row>
    <row r="882" customFormat="false" ht="15" hidden="false" customHeight="true" outlineLevel="0" collapsed="false">
      <c r="A882" s="18" t="s">
        <v>934</v>
      </c>
      <c r="B882" s="19" t="n">
        <v>45455</v>
      </c>
      <c r="C882" s="18" t="s">
        <v>19</v>
      </c>
      <c r="D882" s="18" t="s">
        <v>106</v>
      </c>
      <c r="E882" s="18" t="s">
        <v>25</v>
      </c>
      <c r="F882" s="20" t="n">
        <v>3978</v>
      </c>
      <c r="G882" s="20" t="n">
        <v>1304.78</v>
      </c>
      <c r="H882" s="18" t="n">
        <v>2</v>
      </c>
      <c r="I882" s="20" t="n">
        <f aca="false">F882</f>
        <v>3978</v>
      </c>
      <c r="J882" s="22" t="n">
        <f aca="false">IFERROR(G882/F882,0)</f>
        <v>0.327998994469583</v>
      </c>
      <c r="K882" s="23" t="n">
        <f aca="false">MONTH(B882)</f>
        <v>6</v>
      </c>
    </row>
    <row r="883" customFormat="false" ht="15" hidden="false" customHeight="true" outlineLevel="0" collapsed="false">
      <c r="A883" s="18" t="s">
        <v>935</v>
      </c>
      <c r="B883" s="19" t="n">
        <v>45472</v>
      </c>
      <c r="C883" s="18" t="s">
        <v>19</v>
      </c>
      <c r="D883" s="18" t="s">
        <v>36</v>
      </c>
      <c r="E883" s="18" t="s">
        <v>25</v>
      </c>
      <c r="F883" s="20" t="n">
        <v>34524</v>
      </c>
      <c r="G883" s="20" t="n">
        <v>8907.19</v>
      </c>
      <c r="H883" s="18" t="n">
        <v>7</v>
      </c>
      <c r="I883" s="20" t="n">
        <f aca="false">F883</f>
        <v>34524</v>
      </c>
      <c r="J883" s="22" t="n">
        <f aca="false">IFERROR(G883/F883,0)</f>
        <v>0.257999942069285</v>
      </c>
      <c r="K883" s="23" t="n">
        <f aca="false">MONTH(B883)</f>
        <v>6</v>
      </c>
    </row>
    <row r="884" customFormat="false" ht="15" hidden="false" customHeight="true" outlineLevel="0" collapsed="false">
      <c r="A884" s="18" t="s">
        <v>936</v>
      </c>
      <c r="B884" s="19" t="n">
        <v>45617</v>
      </c>
      <c r="C884" s="18" t="s">
        <v>41</v>
      </c>
      <c r="D884" s="18" t="s">
        <v>70</v>
      </c>
      <c r="E884" s="18" t="s">
        <v>21</v>
      </c>
      <c r="F884" s="20" t="n">
        <v>34868</v>
      </c>
      <c r="G884" s="20" t="n">
        <v>7147.94</v>
      </c>
      <c r="H884" s="18" t="n">
        <v>1</v>
      </c>
      <c r="I884" s="20" t="n">
        <f aca="false">F884</f>
        <v>34868</v>
      </c>
      <c r="J884" s="22" t="n">
        <f aca="false">IFERROR(G884/F884,0)</f>
        <v>0.205</v>
      </c>
      <c r="K884" s="23" t="n">
        <f aca="false">MONTH(B884)</f>
        <v>11</v>
      </c>
    </row>
    <row r="885" customFormat="false" ht="15" hidden="false" customHeight="true" outlineLevel="0" collapsed="false">
      <c r="A885" s="18" t="s">
        <v>937</v>
      </c>
      <c r="B885" s="19" t="n">
        <v>45648</v>
      </c>
      <c r="C885" s="18" t="s">
        <v>19</v>
      </c>
      <c r="D885" s="18" t="s">
        <v>93</v>
      </c>
      <c r="E885" s="18" t="s">
        <v>32</v>
      </c>
      <c r="F885" s="20" t="n">
        <v>23174</v>
      </c>
      <c r="G885" s="20" t="n">
        <v>3568.8</v>
      </c>
      <c r="H885" s="18" t="n">
        <v>2</v>
      </c>
      <c r="I885" s="20" t="n">
        <f aca="false">F885</f>
        <v>23174</v>
      </c>
      <c r="J885" s="22" t="n">
        <f aca="false">IFERROR(G885/F885,0)</f>
        <v>0.154000172607232</v>
      </c>
      <c r="K885" s="23" t="n">
        <f aca="false">MONTH(B885)</f>
        <v>12</v>
      </c>
    </row>
    <row r="886" customFormat="false" ht="15" hidden="false" customHeight="true" outlineLevel="0" collapsed="false">
      <c r="A886" s="18" t="s">
        <v>938</v>
      </c>
      <c r="B886" s="19" t="n">
        <v>45435</v>
      </c>
      <c r="C886" s="18" t="s">
        <v>41</v>
      </c>
      <c r="D886" s="18" t="s">
        <v>106</v>
      </c>
      <c r="E886" s="18" t="s">
        <v>25</v>
      </c>
      <c r="F886" s="20" t="n">
        <v>10134</v>
      </c>
      <c r="G886" s="20" t="n">
        <v>2422.03</v>
      </c>
      <c r="H886" s="18" t="n">
        <v>6</v>
      </c>
      <c r="I886" s="20" t="n">
        <f aca="false">F886</f>
        <v>10134</v>
      </c>
      <c r="J886" s="22" t="n">
        <f aca="false">IFERROR(G886/F886,0)</f>
        <v>0.239000394710874</v>
      </c>
      <c r="K886" s="23" t="n">
        <f aca="false">MONTH(B886)</f>
        <v>5</v>
      </c>
    </row>
    <row r="887" customFormat="false" ht="15" hidden="false" customHeight="true" outlineLevel="0" collapsed="false">
      <c r="A887" s="18" t="s">
        <v>939</v>
      </c>
      <c r="B887" s="19" t="n">
        <v>45468</v>
      </c>
      <c r="C887" s="18" t="s">
        <v>39</v>
      </c>
      <c r="D887" s="18" t="s">
        <v>83</v>
      </c>
      <c r="E887" s="18" t="s">
        <v>21</v>
      </c>
      <c r="F887" s="20" t="n">
        <v>14340</v>
      </c>
      <c r="G887" s="20" t="n">
        <v>1778.16</v>
      </c>
      <c r="H887" s="18" t="n">
        <v>2</v>
      </c>
      <c r="I887" s="20" t="n">
        <f aca="false">F887</f>
        <v>14340</v>
      </c>
      <c r="J887" s="22" t="n">
        <f aca="false">IFERROR(G887/F887,0)</f>
        <v>0.124</v>
      </c>
      <c r="K887" s="23" t="n">
        <f aca="false">MONTH(B887)</f>
        <v>6</v>
      </c>
    </row>
    <row r="888" customFormat="false" ht="15" hidden="false" customHeight="true" outlineLevel="0" collapsed="false">
      <c r="A888" s="18" t="s">
        <v>940</v>
      </c>
      <c r="B888" s="19" t="n">
        <v>45375</v>
      </c>
      <c r="C888" s="18" t="s">
        <v>27</v>
      </c>
      <c r="D888" s="18" t="s">
        <v>88</v>
      </c>
      <c r="E888" s="18" t="s">
        <v>50</v>
      </c>
      <c r="F888" s="20" t="n">
        <v>1885</v>
      </c>
      <c r="G888" s="20" t="n">
        <v>637.13</v>
      </c>
      <c r="H888" s="18" t="n">
        <v>5</v>
      </c>
      <c r="I888" s="20" t="n">
        <f aca="false">F888</f>
        <v>1885</v>
      </c>
      <c r="J888" s="22" t="n">
        <f aca="false">IFERROR(G888/F888,0)</f>
        <v>0.338</v>
      </c>
      <c r="K888" s="23" t="n">
        <f aca="false">MONTH(B888)</f>
        <v>3</v>
      </c>
    </row>
    <row r="889" customFormat="false" ht="15" hidden="false" customHeight="true" outlineLevel="0" collapsed="false">
      <c r="A889" s="18" t="s">
        <v>941</v>
      </c>
      <c r="B889" s="19" t="n">
        <v>45652</v>
      </c>
      <c r="C889" s="18" t="s">
        <v>41</v>
      </c>
      <c r="D889" s="18" t="s">
        <v>64</v>
      </c>
      <c r="E889" s="18" t="s">
        <v>32</v>
      </c>
      <c r="F889" s="20" t="n">
        <v>115860</v>
      </c>
      <c r="G889" s="20" t="n">
        <v>20738.94</v>
      </c>
      <c r="H889" s="18" t="n">
        <v>4</v>
      </c>
      <c r="I889" s="20" t="n">
        <f aca="false">F889</f>
        <v>115860</v>
      </c>
      <c r="J889" s="22" t="n">
        <f aca="false">IFERROR(G889/F889,0)</f>
        <v>0.179</v>
      </c>
      <c r="K889" s="23" t="n">
        <f aca="false">MONTH(B889)</f>
        <v>12</v>
      </c>
    </row>
    <row r="890" customFormat="false" ht="15" hidden="false" customHeight="true" outlineLevel="0" collapsed="false">
      <c r="A890" s="18" t="s">
        <v>942</v>
      </c>
      <c r="B890" s="19" t="n">
        <v>45379</v>
      </c>
      <c r="C890" s="18" t="s">
        <v>23</v>
      </c>
      <c r="D890" s="18" t="s">
        <v>44</v>
      </c>
      <c r="E890" s="18" t="s">
        <v>32</v>
      </c>
      <c r="F890" s="20" t="n">
        <v>8495</v>
      </c>
      <c r="G890" s="20" t="n">
        <v>1078.87</v>
      </c>
      <c r="H890" s="18" t="n">
        <v>5</v>
      </c>
      <c r="I890" s="20" t="n">
        <f aca="false">F890</f>
        <v>8495</v>
      </c>
      <c r="J890" s="22" t="n">
        <f aca="false">IFERROR(G890/F890,0)</f>
        <v>0.127000588581519</v>
      </c>
      <c r="K890" s="23" t="n">
        <f aca="false">MONTH(B890)</f>
        <v>3</v>
      </c>
    </row>
    <row r="891" customFormat="false" ht="15" hidden="false" customHeight="true" outlineLevel="0" collapsed="false">
      <c r="A891" s="18" t="s">
        <v>943</v>
      </c>
      <c r="B891" s="19" t="n">
        <v>45618</v>
      </c>
      <c r="C891" s="18" t="s">
        <v>27</v>
      </c>
      <c r="D891" s="18" t="s">
        <v>58</v>
      </c>
      <c r="E891" s="18" t="s">
        <v>50</v>
      </c>
      <c r="F891" s="20" t="n">
        <v>1188</v>
      </c>
      <c r="G891" s="20" t="n">
        <v>415.8</v>
      </c>
      <c r="H891" s="18" t="n">
        <v>9</v>
      </c>
      <c r="I891" s="20" t="n">
        <f aca="false">F891</f>
        <v>1188</v>
      </c>
      <c r="J891" s="22" t="n">
        <f aca="false">IFERROR(G891/F891,0)</f>
        <v>0.35</v>
      </c>
      <c r="K891" s="23" t="n">
        <f aca="false">MONTH(B891)</f>
        <v>11</v>
      </c>
    </row>
    <row r="892" customFormat="false" ht="15" hidden="false" customHeight="true" outlineLevel="0" collapsed="false">
      <c r="A892" s="18" t="s">
        <v>944</v>
      </c>
      <c r="B892" s="19" t="n">
        <v>45656</v>
      </c>
      <c r="C892" s="18" t="s">
        <v>27</v>
      </c>
      <c r="D892" s="18" t="s">
        <v>55</v>
      </c>
      <c r="E892" s="18" t="s">
        <v>32</v>
      </c>
      <c r="F892" s="20" t="n">
        <v>113230</v>
      </c>
      <c r="G892" s="20" t="n">
        <v>15399.28</v>
      </c>
      <c r="H892" s="18" t="n">
        <v>5</v>
      </c>
      <c r="I892" s="20" t="n">
        <f aca="false">F892</f>
        <v>113230</v>
      </c>
      <c r="J892" s="22" t="n">
        <f aca="false">IFERROR(G892/F892,0)</f>
        <v>0.136</v>
      </c>
      <c r="K892" s="23" t="n">
        <f aca="false">MONTH(B892)</f>
        <v>12</v>
      </c>
    </row>
    <row r="893" customFormat="false" ht="15" hidden="false" customHeight="true" outlineLevel="0" collapsed="false">
      <c r="A893" s="18" t="s">
        <v>945</v>
      </c>
      <c r="B893" s="19" t="n">
        <v>45378</v>
      </c>
      <c r="C893" s="18" t="s">
        <v>27</v>
      </c>
      <c r="D893" s="18" t="s">
        <v>46</v>
      </c>
      <c r="E893" s="18" t="s">
        <v>29</v>
      </c>
      <c r="F893" s="20" t="n">
        <v>94952</v>
      </c>
      <c r="G893" s="20" t="n">
        <v>10539.67</v>
      </c>
      <c r="H893" s="18" t="n">
        <v>8</v>
      </c>
      <c r="I893" s="20" t="n">
        <f aca="false">F893</f>
        <v>94952</v>
      </c>
      <c r="J893" s="22" t="n">
        <f aca="false">IFERROR(G893/F893,0)</f>
        <v>0.110999978936726</v>
      </c>
      <c r="K893" s="23" t="n">
        <f aca="false">MONTH(B893)</f>
        <v>3</v>
      </c>
    </row>
    <row r="894" customFormat="false" ht="15" hidden="false" customHeight="true" outlineLevel="0" collapsed="false">
      <c r="A894" s="18" t="s">
        <v>946</v>
      </c>
      <c r="B894" s="19" t="n">
        <v>45399</v>
      </c>
      <c r="C894" s="18" t="s">
        <v>39</v>
      </c>
      <c r="D894" s="18" t="s">
        <v>46</v>
      </c>
      <c r="E894" s="18" t="s">
        <v>29</v>
      </c>
      <c r="F894" s="20" t="n">
        <v>34563</v>
      </c>
      <c r="G894" s="20" t="n">
        <v>6186.78</v>
      </c>
      <c r="H894" s="18" t="n">
        <v>3</v>
      </c>
      <c r="I894" s="20" t="n">
        <f aca="false">F894</f>
        <v>34563</v>
      </c>
      <c r="J894" s="22" t="n">
        <f aca="false">IFERROR(G894/F894,0)</f>
        <v>0.179000086798021</v>
      </c>
      <c r="K894" s="23" t="n">
        <f aca="false">MONTH(B894)</f>
        <v>4</v>
      </c>
    </row>
    <row r="895" customFormat="false" ht="15" hidden="false" customHeight="true" outlineLevel="0" collapsed="false">
      <c r="A895" s="18" t="s">
        <v>947</v>
      </c>
      <c r="B895" s="19" t="n">
        <v>45430</v>
      </c>
      <c r="C895" s="18" t="s">
        <v>23</v>
      </c>
      <c r="D895" s="18" t="s">
        <v>24</v>
      </c>
      <c r="E895" s="18" t="s">
        <v>25</v>
      </c>
      <c r="F895" s="20" t="n">
        <v>19674</v>
      </c>
      <c r="G895" s="20" t="n">
        <v>4859.48</v>
      </c>
      <c r="H895" s="18" t="n">
        <v>9</v>
      </c>
      <c r="I895" s="20" t="n">
        <f aca="false">F895</f>
        <v>19674</v>
      </c>
      <c r="J895" s="22" t="n">
        <f aca="false">IFERROR(G895/F895,0)</f>
        <v>0.247000101657009</v>
      </c>
      <c r="K895" s="23" t="n">
        <f aca="false">MONTH(B895)</f>
        <v>5</v>
      </c>
    </row>
    <row r="896" customFormat="false" ht="15" hidden="false" customHeight="true" outlineLevel="0" collapsed="false">
      <c r="A896" s="18" t="s">
        <v>948</v>
      </c>
      <c r="B896" s="19" t="n">
        <v>45646</v>
      </c>
      <c r="C896" s="18" t="s">
        <v>23</v>
      </c>
      <c r="D896" s="18" t="s">
        <v>96</v>
      </c>
      <c r="E896" s="18" t="s">
        <v>50</v>
      </c>
      <c r="F896" s="20" t="n">
        <v>150</v>
      </c>
      <c r="G896" s="20" t="n">
        <v>57.75</v>
      </c>
      <c r="H896" s="18" t="n">
        <v>5</v>
      </c>
      <c r="I896" s="20" t="n">
        <f aca="false">F896</f>
        <v>150</v>
      </c>
      <c r="J896" s="22" t="n">
        <f aca="false">IFERROR(G896/F896,0)</f>
        <v>0.385</v>
      </c>
      <c r="K896" s="23" t="n">
        <f aca="false">MONTH(B896)</f>
        <v>12</v>
      </c>
    </row>
    <row r="897" customFormat="false" ht="15" hidden="false" customHeight="true" outlineLevel="0" collapsed="false">
      <c r="A897" s="18" t="s">
        <v>949</v>
      </c>
      <c r="B897" s="19" t="n">
        <v>45570</v>
      </c>
      <c r="C897" s="18" t="s">
        <v>27</v>
      </c>
      <c r="D897" s="18" t="s">
        <v>62</v>
      </c>
      <c r="E897" s="18" t="s">
        <v>50</v>
      </c>
      <c r="F897" s="20" t="n">
        <v>528</v>
      </c>
      <c r="G897" s="20" t="n">
        <v>209.09</v>
      </c>
      <c r="H897" s="18" t="n">
        <v>6</v>
      </c>
      <c r="I897" s="20" t="n">
        <f aca="false">F897</f>
        <v>528</v>
      </c>
      <c r="J897" s="22" t="n">
        <f aca="false">IFERROR(G897/F897,0)</f>
        <v>0.396003787878788</v>
      </c>
      <c r="K897" s="23" t="n">
        <f aca="false">MONTH(B897)</f>
        <v>10</v>
      </c>
    </row>
    <row r="898" customFormat="false" ht="15" hidden="false" customHeight="true" outlineLevel="0" collapsed="false">
      <c r="A898" s="18" t="s">
        <v>950</v>
      </c>
      <c r="B898" s="19" t="n">
        <v>45573</v>
      </c>
      <c r="C898" s="18" t="s">
        <v>19</v>
      </c>
      <c r="D898" s="18" t="s">
        <v>55</v>
      </c>
      <c r="E898" s="18" t="s">
        <v>32</v>
      </c>
      <c r="F898" s="20" t="n">
        <v>158490</v>
      </c>
      <c r="G898" s="20" t="n">
        <v>27894.24</v>
      </c>
      <c r="H898" s="18" t="n">
        <v>6</v>
      </c>
      <c r="I898" s="20" t="n">
        <f aca="false">F898</f>
        <v>158490</v>
      </c>
      <c r="J898" s="22" t="n">
        <f aca="false">IFERROR(G898/F898,0)</f>
        <v>0.176</v>
      </c>
      <c r="K898" s="23" t="n">
        <f aca="false">MONTH(B898)</f>
        <v>10</v>
      </c>
    </row>
    <row r="899" customFormat="false" ht="15" hidden="false" customHeight="true" outlineLevel="0" collapsed="false">
      <c r="A899" s="18" t="s">
        <v>951</v>
      </c>
      <c r="B899" s="19" t="n">
        <v>45443</v>
      </c>
      <c r="C899" s="18" t="s">
        <v>19</v>
      </c>
      <c r="D899" s="18" t="s">
        <v>49</v>
      </c>
      <c r="E899" s="18" t="s">
        <v>50</v>
      </c>
      <c r="F899" s="20" t="n">
        <v>483</v>
      </c>
      <c r="G899" s="20" t="n">
        <v>167.6</v>
      </c>
      <c r="H899" s="18" t="n">
        <v>7</v>
      </c>
      <c r="I899" s="20" t="n">
        <f aca="false">F899</f>
        <v>483</v>
      </c>
      <c r="J899" s="22" t="n">
        <f aca="false">IFERROR(G899/F899,0)</f>
        <v>0.346997929606625</v>
      </c>
      <c r="K899" s="23" t="n">
        <f aca="false">MONTH(B899)</f>
        <v>5</v>
      </c>
    </row>
    <row r="900" customFormat="false" ht="15" hidden="false" customHeight="true" outlineLevel="0" collapsed="false">
      <c r="A900" s="18" t="s">
        <v>952</v>
      </c>
      <c r="B900" s="19" t="n">
        <v>45381</v>
      </c>
      <c r="C900" s="18" t="s">
        <v>27</v>
      </c>
      <c r="D900" s="18" t="s">
        <v>62</v>
      </c>
      <c r="E900" s="18" t="s">
        <v>50</v>
      </c>
      <c r="F900" s="20" t="n">
        <v>91</v>
      </c>
      <c r="G900" s="20" t="n">
        <v>33.67</v>
      </c>
      <c r="H900" s="18" t="n">
        <v>1</v>
      </c>
      <c r="I900" s="20" t="n">
        <f aca="false">F900</f>
        <v>91</v>
      </c>
      <c r="J900" s="22" t="n">
        <f aca="false">IFERROR(G900/F900,0)</f>
        <v>0.37</v>
      </c>
      <c r="K900" s="23" t="n">
        <f aca="false">MONTH(B900)</f>
        <v>3</v>
      </c>
    </row>
    <row r="901" customFormat="false" ht="15" hidden="false" customHeight="true" outlineLevel="0" collapsed="false">
      <c r="A901" s="18" t="s">
        <v>953</v>
      </c>
      <c r="B901" s="19" t="n">
        <v>45419</v>
      </c>
      <c r="C901" s="18" t="s">
        <v>41</v>
      </c>
      <c r="D901" s="18" t="s">
        <v>83</v>
      </c>
      <c r="E901" s="18" t="s">
        <v>21</v>
      </c>
      <c r="F901" s="20" t="n">
        <v>44506</v>
      </c>
      <c r="G901" s="20" t="n">
        <v>7922.07</v>
      </c>
      <c r="H901" s="18" t="n">
        <v>7</v>
      </c>
      <c r="I901" s="20" t="n">
        <f aca="false">F901</f>
        <v>44506</v>
      </c>
      <c r="J901" s="22" t="n">
        <f aca="false">IFERROR(G901/F901,0)</f>
        <v>0.178000044937761</v>
      </c>
      <c r="K901" s="23" t="n">
        <f aca="false">MONTH(B901)</f>
        <v>5</v>
      </c>
    </row>
    <row r="903" customFormat="false" ht="15" hidden="false" customHeight="true" outlineLevel="0" collapsed="false">
      <c r="A903" s="21" t="s">
        <v>961</v>
      </c>
    </row>
  </sheetData>
  <autoFilter ref="A1:K9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4"/>
  </cols>
  <sheetData>
    <row r="1" customFormat="false" ht="15" hidden="false" customHeight="true" outlineLevel="0" collapsed="false">
      <c r="A1" s="24" t="s">
        <v>962</v>
      </c>
      <c r="B1" s="24"/>
      <c r="C1" s="24"/>
      <c r="D1" s="24"/>
      <c r="E1" s="24"/>
    </row>
    <row r="3" customFormat="false" ht="15" hidden="false" customHeight="true" outlineLevel="0" collapsed="false">
      <c r="A3" s="17" t="s">
        <v>12</v>
      </c>
      <c r="B3" s="17" t="s">
        <v>958</v>
      </c>
      <c r="C3" s="17" t="s">
        <v>963</v>
      </c>
      <c r="D3" s="17" t="s">
        <v>964</v>
      </c>
      <c r="E3" s="17" t="s">
        <v>959</v>
      </c>
    </row>
    <row r="4" customFormat="false" ht="15" hidden="false" customHeight="true" outlineLevel="0" collapsed="false">
      <c r="A4" s="18" t="s">
        <v>23</v>
      </c>
      <c r="B4" s="20" t="n">
        <f aca="false">SUMIFS(Cleaned_Data!F$2:F$901,Cleaned_Data!C$2:C$901,A4)</f>
        <v>12036654</v>
      </c>
      <c r="C4" s="20" t="n">
        <f aca="false">SUMIFS(Cleaned_Data!G$2:G$901,Cleaned_Data!C$2:C$901,A4)</f>
        <v>1933759.71</v>
      </c>
      <c r="D4" s="18" t="n">
        <f aca="false">COUNTIFS(Cleaned_Data!C$2:C$901,A4)</f>
        <v>168</v>
      </c>
      <c r="E4" s="22" t="n">
        <f aca="false">IFERROR(C4/B4,0)</f>
        <v>0.160655918995428</v>
      </c>
    </row>
    <row r="5" customFormat="false" ht="15" hidden="false" customHeight="true" outlineLevel="0" collapsed="false">
      <c r="A5" s="18" t="s">
        <v>19</v>
      </c>
      <c r="B5" s="20" t="n">
        <f aca="false">SUMIFS(Cleaned_Data!F$2:F$901,Cleaned_Data!C$2:C$901,A5)</f>
        <v>12844629</v>
      </c>
      <c r="C5" s="20" t="n">
        <f aca="false">SUMIFS(Cleaned_Data!G$2:G$901,Cleaned_Data!C$2:C$901,A5)</f>
        <v>1956959.14</v>
      </c>
      <c r="D5" s="18" t="n">
        <f aca="false">COUNTIFS(Cleaned_Data!C$2:C$901,A5)</f>
        <v>185</v>
      </c>
      <c r="E5" s="22" t="n">
        <f aca="false">IFERROR(C5/B5,0)</f>
        <v>0.152356221421421</v>
      </c>
    </row>
    <row r="6" customFormat="false" ht="15" hidden="false" customHeight="true" outlineLevel="0" collapsed="false">
      <c r="A6" s="18" t="s">
        <v>41</v>
      </c>
      <c r="B6" s="20" t="n">
        <f aca="false">SUMIFS(Cleaned_Data!F$2:F$901,Cleaned_Data!C$2:C$901,A6)</f>
        <v>13271189</v>
      </c>
      <c r="C6" s="20" t="n">
        <f aca="false">SUMIFS(Cleaned_Data!G$2:G$901,Cleaned_Data!C$2:C$901,A6)</f>
        <v>2068968.09</v>
      </c>
      <c r="D6" s="18" t="n">
        <f aca="false">COUNTIFS(Cleaned_Data!C$2:C$901,A6)</f>
        <v>186</v>
      </c>
      <c r="E6" s="22" t="n">
        <f aca="false">IFERROR(C6/B6,0)</f>
        <v>0.155899225758898</v>
      </c>
    </row>
    <row r="7" customFormat="false" ht="15" hidden="false" customHeight="true" outlineLevel="0" collapsed="false">
      <c r="A7" s="18" t="s">
        <v>39</v>
      </c>
      <c r="B7" s="20" t="n">
        <f aca="false">SUMIFS(Cleaned_Data!F$2:F$901,Cleaned_Data!C$2:C$901,A7)</f>
        <v>9400399</v>
      </c>
      <c r="C7" s="20" t="n">
        <f aca="false">SUMIFS(Cleaned_Data!G$2:G$901,Cleaned_Data!C$2:C$901,A7)</f>
        <v>1529336.4</v>
      </c>
      <c r="D7" s="18" t="n">
        <f aca="false">COUNTIFS(Cleaned_Data!C$2:C$901,A7)</f>
        <v>181</v>
      </c>
      <c r="E7" s="22" t="n">
        <f aca="false">IFERROR(C7/B7,0)</f>
        <v>0.162688456096385</v>
      </c>
    </row>
    <row r="8" customFormat="false" ht="15" hidden="false" customHeight="true" outlineLevel="0" collapsed="false">
      <c r="A8" s="18" t="s">
        <v>27</v>
      </c>
      <c r="B8" s="20" t="n">
        <f aca="false">SUMIFS(Cleaned_Data!F$2:F$901,Cleaned_Data!C$2:C$901,A8)</f>
        <v>10460456</v>
      </c>
      <c r="C8" s="20" t="n">
        <f aca="false">SUMIFS(Cleaned_Data!G$2:G$901,Cleaned_Data!C$2:C$901,A8)</f>
        <v>1579003.62</v>
      </c>
      <c r="D8" s="18" t="n">
        <f aca="false">COUNTIFS(Cleaned_Data!C$2:C$901,A8)</f>
        <v>180</v>
      </c>
      <c r="E8" s="22" t="n">
        <f aca="false">IFERROR(C8/B8,0)</f>
        <v>0.150949788422226</v>
      </c>
    </row>
    <row r="9" customFormat="false" ht="15" hidden="false" customHeight="true" outlineLevel="0" collapsed="false">
      <c r="A9" s="25" t="s">
        <v>965</v>
      </c>
      <c r="B9" s="26" t="n">
        <f aca="false">SUM(B4:B8)</f>
        <v>58013327</v>
      </c>
      <c r="C9" s="26" t="n">
        <f aca="false">SUM(C4:C8)</f>
        <v>9068026.96</v>
      </c>
      <c r="D9" s="25" t="n">
        <f aca="false">SUM(D4:D8)</f>
        <v>900</v>
      </c>
      <c r="E9" s="27" t="n">
        <f aca="false">IFERROR(C9/B9,0)</f>
        <v>0.156309376292106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4"/>
  </cols>
  <sheetData>
    <row r="1" customFormat="false" ht="15" hidden="false" customHeight="true" outlineLevel="0" collapsed="false">
      <c r="A1" s="24" t="s">
        <v>966</v>
      </c>
      <c r="B1" s="24"/>
      <c r="C1" s="24"/>
      <c r="D1" s="24"/>
      <c r="E1" s="24"/>
    </row>
    <row r="3" customFormat="false" ht="15" hidden="false" customHeight="true" outlineLevel="0" collapsed="false">
      <c r="A3" s="17" t="s">
        <v>13</v>
      </c>
      <c r="B3" s="17" t="s">
        <v>958</v>
      </c>
      <c r="C3" s="17" t="s">
        <v>963</v>
      </c>
      <c r="D3" s="17" t="s">
        <v>967</v>
      </c>
      <c r="E3" s="17" t="s">
        <v>959</v>
      </c>
    </row>
    <row r="4" customFormat="false" ht="15" hidden="false" customHeight="true" outlineLevel="0" collapsed="false">
      <c r="A4" s="18" t="s">
        <v>31</v>
      </c>
      <c r="B4" s="20" t="n">
        <f aca="false">SUMIFS(Cleaned_Data!F$2:F$901,Cleaned_Data!D$2:D$901,A4)</f>
        <v>10848853</v>
      </c>
      <c r="C4" s="20" t="n">
        <f aca="false">SUMIFS(Cleaned_Data!G$2:G$901,Cleaned_Data!D$2:D$901,A4)</f>
        <v>1417866.05</v>
      </c>
      <c r="D4" s="18" t="n">
        <f aca="false">SUMIFS(Cleaned_Data!H$2:H$901,Cleaned_Data!D$2:D$901,A4)</f>
        <v>165</v>
      </c>
      <c r="E4" s="22" t="n">
        <f aca="false">IFERROR(C4/B4,0)</f>
        <v>0.130692714704495</v>
      </c>
    </row>
    <row r="5" customFormat="false" ht="15" hidden="false" customHeight="true" outlineLevel="0" collapsed="false">
      <c r="A5" s="18" t="s">
        <v>55</v>
      </c>
      <c r="B5" s="20" t="n">
        <f aca="false">SUMIFS(Cleaned_Data!F$2:F$901,Cleaned_Data!D$2:D$901,A5)</f>
        <v>8305639</v>
      </c>
      <c r="C5" s="20" t="n">
        <f aca="false">SUMIFS(Cleaned_Data!G$2:G$901,Cleaned_Data!D$2:D$901,A5)</f>
        <v>1017161.11</v>
      </c>
      <c r="D5" s="18" t="n">
        <f aca="false">SUMIFS(Cleaned_Data!H$2:H$901,Cleaned_Data!D$2:D$901,A5)</f>
        <v>286</v>
      </c>
      <c r="E5" s="22" t="n">
        <f aca="false">IFERROR(C5/B5,0)</f>
        <v>0.12246632799716</v>
      </c>
    </row>
    <row r="6" customFormat="false" ht="15" hidden="false" customHeight="true" outlineLevel="0" collapsed="false">
      <c r="A6" s="18" t="s">
        <v>86</v>
      </c>
      <c r="B6" s="20" t="n">
        <f aca="false">SUMIFS(Cleaned_Data!F$2:F$901,Cleaned_Data!D$2:D$901,A6)</f>
        <v>7663745</v>
      </c>
      <c r="C6" s="20" t="n">
        <f aca="false">SUMIFS(Cleaned_Data!G$2:G$901,Cleaned_Data!D$2:D$901,A6)</f>
        <v>1462289.05</v>
      </c>
      <c r="D6" s="18" t="n">
        <f aca="false">SUMIFS(Cleaned_Data!H$2:H$901,Cleaned_Data!D$2:D$901,A6)</f>
        <v>213</v>
      </c>
      <c r="E6" s="22" t="n">
        <f aca="false">IFERROR(C6/B6,0)</f>
        <v>0.190806068051586</v>
      </c>
    </row>
    <row r="7" customFormat="false" ht="15" hidden="false" customHeight="true" outlineLevel="0" collapsed="false">
      <c r="A7" s="18" t="s">
        <v>64</v>
      </c>
      <c r="B7" s="20" t="n">
        <f aca="false">SUMIFS(Cleaned_Data!F$2:F$901,Cleaned_Data!D$2:D$901,A7)</f>
        <v>6920398</v>
      </c>
      <c r="C7" s="20" t="n">
        <f aca="false">SUMIFS(Cleaned_Data!G$2:G$901,Cleaned_Data!D$2:D$901,A7)</f>
        <v>923434.19</v>
      </c>
      <c r="D7" s="18" t="n">
        <f aca="false">SUMIFS(Cleaned_Data!H$2:H$901,Cleaned_Data!D$2:D$901,A7)</f>
        <v>179</v>
      </c>
      <c r="E7" s="22" t="n">
        <f aca="false">IFERROR(C7/B7,0)</f>
        <v>0.133436572578629</v>
      </c>
    </row>
    <row r="8" customFormat="false" ht="15" hidden="false" customHeight="true" outlineLevel="0" collapsed="false">
      <c r="A8" s="18" t="s">
        <v>70</v>
      </c>
      <c r="B8" s="20" t="n">
        <f aca="false">SUMIFS(Cleaned_Data!F$2:F$901,Cleaned_Data!D$2:D$901,A8)</f>
        <v>5382481</v>
      </c>
      <c r="C8" s="20" t="n">
        <f aca="false">SUMIFS(Cleaned_Data!G$2:G$901,Cleaned_Data!D$2:D$901,A8)</f>
        <v>992383.37</v>
      </c>
      <c r="D8" s="18" t="n">
        <f aca="false">SUMIFS(Cleaned_Data!H$2:H$901,Cleaned_Data!D$2:D$901,A8)</f>
        <v>203</v>
      </c>
      <c r="E8" s="22" t="n">
        <f aca="false">IFERROR(C8/B8,0)</f>
        <v>0.184372851478714</v>
      </c>
    </row>
    <row r="9" customFormat="false" ht="15" hidden="false" customHeight="true" outlineLevel="0" collapsed="false">
      <c r="A9" s="18" t="s">
        <v>42</v>
      </c>
      <c r="B9" s="20" t="n">
        <f aca="false">SUMIFS(Cleaned_Data!F$2:F$901,Cleaned_Data!D$2:D$901,A9)</f>
        <v>2761518</v>
      </c>
      <c r="C9" s="20" t="n">
        <f aca="false">SUMIFS(Cleaned_Data!G$2:G$901,Cleaned_Data!D$2:D$901,A9)</f>
        <v>479120.88</v>
      </c>
      <c r="D9" s="18" t="n">
        <f aca="false">SUMIFS(Cleaned_Data!H$2:H$901,Cleaned_Data!D$2:D$901,A9)</f>
        <v>237</v>
      </c>
      <c r="E9" s="22" t="n">
        <f aca="false">IFERROR(C9/B9,0)</f>
        <v>0.173499097235651</v>
      </c>
    </row>
    <row r="10" customFormat="false" ht="15" hidden="false" customHeight="true" outlineLevel="0" collapsed="false">
      <c r="A10" s="18" t="s">
        <v>120</v>
      </c>
      <c r="B10" s="20" t="n">
        <f aca="false">SUMIFS(Cleaned_Data!F$2:F$901,Cleaned_Data!D$2:D$901,A10)</f>
        <v>2195680</v>
      </c>
      <c r="C10" s="20" t="n">
        <f aca="false">SUMIFS(Cleaned_Data!G$2:G$901,Cleaned_Data!D$2:D$901,A10)</f>
        <v>339044.28</v>
      </c>
      <c r="D10" s="18" t="n">
        <f aca="false">SUMIFS(Cleaned_Data!H$2:H$901,Cleaned_Data!D$2:D$901,A10)</f>
        <v>179</v>
      </c>
      <c r="E10" s="22" t="n">
        <f aca="false">IFERROR(C10/B10,0)</f>
        <v>0.154414249799607</v>
      </c>
    </row>
    <row r="11" customFormat="false" ht="15" hidden="false" customHeight="true" outlineLevel="0" collapsed="false">
      <c r="A11" s="18" t="s">
        <v>20</v>
      </c>
      <c r="B11" s="20" t="n">
        <f aca="false">SUMIFS(Cleaned_Data!F$2:F$901,Cleaned_Data!D$2:D$901,A11)</f>
        <v>2163186</v>
      </c>
      <c r="C11" s="20" t="n">
        <f aca="false">SUMIFS(Cleaned_Data!G$2:G$901,Cleaned_Data!D$2:D$901,A11)</f>
        <v>412749.78</v>
      </c>
      <c r="D11" s="18" t="n">
        <f aca="false">SUMIFS(Cleaned_Data!H$2:H$901,Cleaned_Data!D$2:D$901,A11)</f>
        <v>215</v>
      </c>
      <c r="E11" s="22" t="n">
        <f aca="false">IFERROR(C11/B11,0)</f>
        <v>0.190806421639193</v>
      </c>
    </row>
    <row r="12" customFormat="false" ht="15" hidden="false" customHeight="true" outlineLevel="0" collapsed="false">
      <c r="A12" s="18" t="s">
        <v>46</v>
      </c>
      <c r="B12" s="20" t="n">
        <f aca="false">SUMIFS(Cleaned_Data!F$2:F$901,Cleaned_Data!D$2:D$901,A12)</f>
        <v>2112017</v>
      </c>
      <c r="C12" s="20" t="n">
        <f aca="false">SUMIFS(Cleaned_Data!G$2:G$901,Cleaned_Data!D$2:D$901,A12)</f>
        <v>330593.22</v>
      </c>
      <c r="D12" s="18" t="n">
        <f aca="false">SUMIFS(Cleaned_Data!H$2:H$901,Cleaned_Data!D$2:D$901,A12)</f>
        <v>255</v>
      </c>
      <c r="E12" s="22" t="n">
        <f aca="false">IFERROR(C12/B12,0)</f>
        <v>0.156529620736954</v>
      </c>
    </row>
    <row r="13" customFormat="false" ht="15" hidden="false" customHeight="true" outlineLevel="0" collapsed="false">
      <c r="A13" s="18" t="s">
        <v>83</v>
      </c>
      <c r="B13" s="20" t="n">
        <f aca="false">SUMIFS(Cleaned_Data!F$2:F$901,Cleaned_Data!D$2:D$901,A13)</f>
        <v>1772890</v>
      </c>
      <c r="C13" s="20" t="n">
        <f aca="false">SUMIFS(Cleaned_Data!G$2:G$901,Cleaned_Data!D$2:D$901,A13)</f>
        <v>324548.23</v>
      </c>
      <c r="D13" s="18" t="n">
        <f aca="false">SUMIFS(Cleaned_Data!H$2:H$901,Cleaned_Data!D$2:D$901,A13)</f>
        <v>232</v>
      </c>
      <c r="E13" s="22" t="n">
        <f aca="false">IFERROR(C13/B13,0)</f>
        <v>0.183061684594081</v>
      </c>
    </row>
    <row r="14" customFormat="false" ht="15" hidden="false" customHeight="true" outlineLevel="0" collapsed="false">
      <c r="A14" s="18" t="s">
        <v>93</v>
      </c>
      <c r="B14" s="20" t="n">
        <f aca="false">SUMIFS(Cleaned_Data!F$2:F$901,Cleaned_Data!D$2:D$901,A14)</f>
        <v>1602562</v>
      </c>
      <c r="C14" s="20" t="n">
        <f aca="false">SUMIFS(Cleaned_Data!G$2:G$901,Cleaned_Data!D$2:D$901,A14)</f>
        <v>207939.41</v>
      </c>
      <c r="D14" s="18" t="n">
        <f aca="false">SUMIFS(Cleaned_Data!H$2:H$901,Cleaned_Data!D$2:D$901,A14)</f>
        <v>207</v>
      </c>
      <c r="E14" s="22" t="n">
        <f aca="false">IFERROR(C14/B14,0)</f>
        <v>0.129754362077723</v>
      </c>
    </row>
    <row r="15" customFormat="false" ht="15" hidden="false" customHeight="true" outlineLevel="0" collapsed="false">
      <c r="A15" s="18" t="s">
        <v>72</v>
      </c>
      <c r="B15" s="20" t="n">
        <f aca="false">SUMIFS(Cleaned_Data!F$2:F$901,Cleaned_Data!D$2:D$901,A15)</f>
        <v>1253121</v>
      </c>
      <c r="C15" s="20" t="n">
        <f aca="false">SUMIFS(Cleaned_Data!G$2:G$901,Cleaned_Data!D$2:D$901,A15)</f>
        <v>197112.23</v>
      </c>
      <c r="D15" s="18" t="n">
        <f aca="false">SUMIFS(Cleaned_Data!H$2:H$901,Cleaned_Data!D$2:D$901,A15)</f>
        <v>132</v>
      </c>
      <c r="E15" s="22" t="n">
        <f aca="false">IFERROR(C15/B15,0)</f>
        <v>0.157297044738696</v>
      </c>
    </row>
    <row r="16" customFormat="false" ht="15" hidden="false" customHeight="true" outlineLevel="0" collapsed="false">
      <c r="A16" s="18" t="s">
        <v>52</v>
      </c>
      <c r="B16" s="20" t="n">
        <f aca="false">SUMIFS(Cleaned_Data!F$2:F$901,Cleaned_Data!D$2:D$901,A16)</f>
        <v>1026767</v>
      </c>
      <c r="C16" s="20" t="n">
        <f aca="false">SUMIFS(Cleaned_Data!G$2:G$901,Cleaned_Data!D$2:D$901,A16)</f>
        <v>136291.52</v>
      </c>
      <c r="D16" s="18" t="n">
        <f aca="false">SUMIFS(Cleaned_Data!H$2:H$901,Cleaned_Data!D$2:D$901,A16)</f>
        <v>229</v>
      </c>
      <c r="E16" s="22" t="n">
        <f aca="false">IFERROR(C16/B16,0)</f>
        <v>0.132738508347074</v>
      </c>
    </row>
    <row r="17" customFormat="false" ht="15" hidden="false" customHeight="true" outlineLevel="0" collapsed="false">
      <c r="A17" s="18" t="s">
        <v>36</v>
      </c>
      <c r="B17" s="20" t="n">
        <f aca="false">SUMIFS(Cleaned_Data!F$2:F$901,Cleaned_Data!D$2:D$901,A17)</f>
        <v>878317</v>
      </c>
      <c r="C17" s="20" t="n">
        <f aca="false">SUMIFS(Cleaned_Data!G$2:G$901,Cleaned_Data!D$2:D$901,A17)</f>
        <v>221153.32</v>
      </c>
      <c r="D17" s="18" t="n">
        <f aca="false">SUMIFS(Cleaned_Data!H$2:H$901,Cleaned_Data!D$2:D$901,A17)</f>
        <v>235</v>
      </c>
      <c r="E17" s="22" t="n">
        <f aca="false">IFERROR(C17/B17,0)</f>
        <v>0.251792143383312</v>
      </c>
    </row>
    <row r="18" customFormat="false" ht="15" hidden="false" customHeight="true" outlineLevel="0" collapsed="false">
      <c r="A18" s="18" t="s">
        <v>28</v>
      </c>
      <c r="B18" s="20" t="n">
        <f aca="false">SUMIFS(Cleaned_Data!F$2:F$901,Cleaned_Data!D$2:D$901,A18)</f>
        <v>754321</v>
      </c>
      <c r="C18" s="20" t="n">
        <f aca="false">SUMIFS(Cleaned_Data!G$2:G$901,Cleaned_Data!D$2:D$901,A18)</f>
        <v>113150.75</v>
      </c>
      <c r="D18" s="18" t="n">
        <f aca="false">SUMIFS(Cleaned_Data!H$2:H$901,Cleaned_Data!D$2:D$901,A18)</f>
        <v>181</v>
      </c>
      <c r="E18" s="22" t="n">
        <f aca="false">IFERROR(C18/B18,0)</f>
        <v>0.150003446808454</v>
      </c>
    </row>
    <row r="19" customFormat="false" ht="15" hidden="false" customHeight="true" outlineLevel="0" collapsed="false">
      <c r="A19" s="18" t="s">
        <v>44</v>
      </c>
      <c r="B19" s="20" t="n">
        <f aca="false">SUMIFS(Cleaned_Data!F$2:F$901,Cleaned_Data!D$2:D$901,A19)</f>
        <v>611766</v>
      </c>
      <c r="C19" s="20" t="n">
        <f aca="false">SUMIFS(Cleaned_Data!G$2:G$901,Cleaned_Data!D$2:D$901,A19)</f>
        <v>85220.56</v>
      </c>
      <c r="D19" s="18" t="n">
        <f aca="false">SUMIFS(Cleaned_Data!H$2:H$901,Cleaned_Data!D$2:D$901,A19)</f>
        <v>176</v>
      </c>
      <c r="E19" s="22" t="n">
        <f aca="false">IFERROR(C19/B19,0)</f>
        <v>0.13930254378308</v>
      </c>
    </row>
    <row r="20" customFormat="false" ht="15" hidden="false" customHeight="true" outlineLevel="0" collapsed="false">
      <c r="A20" s="18" t="s">
        <v>91</v>
      </c>
      <c r="B20" s="20" t="n">
        <f aca="false">SUMIFS(Cleaned_Data!F$2:F$901,Cleaned_Data!D$2:D$901,A20)</f>
        <v>528957</v>
      </c>
      <c r="C20" s="20" t="n">
        <f aca="false">SUMIFS(Cleaned_Data!G$2:G$901,Cleaned_Data!D$2:D$901,A20)</f>
        <v>135956.1</v>
      </c>
      <c r="D20" s="18" t="n">
        <f aca="false">SUMIFS(Cleaned_Data!H$2:H$901,Cleaned_Data!D$2:D$901,A20)</f>
        <v>158</v>
      </c>
      <c r="E20" s="22" t="n">
        <f aca="false">IFERROR(C20/B20,0)</f>
        <v>0.257026752647191</v>
      </c>
    </row>
    <row r="21" customFormat="false" ht="15" hidden="false" customHeight="true" outlineLevel="0" collapsed="false">
      <c r="A21" s="18" t="s">
        <v>106</v>
      </c>
      <c r="B21" s="20" t="n">
        <f aca="false">SUMIFS(Cleaned_Data!F$2:F$901,Cleaned_Data!D$2:D$901,A21)</f>
        <v>350632</v>
      </c>
      <c r="C21" s="20" t="n">
        <f aca="false">SUMIFS(Cleaned_Data!G$2:G$901,Cleaned_Data!D$2:D$901,A21)</f>
        <v>81427.01</v>
      </c>
      <c r="D21" s="18" t="n">
        <f aca="false">SUMIFS(Cleaned_Data!H$2:H$901,Cleaned_Data!D$2:D$901,A21)</f>
        <v>187</v>
      </c>
      <c r="E21" s="22" t="n">
        <f aca="false">IFERROR(C21/B21,0)</f>
        <v>0.232229260307103</v>
      </c>
    </row>
    <row r="22" customFormat="false" ht="15" hidden="false" customHeight="true" outlineLevel="0" collapsed="false">
      <c r="A22" s="18" t="s">
        <v>75</v>
      </c>
      <c r="B22" s="20" t="n">
        <f aca="false">SUMIFS(Cleaned_Data!F$2:F$901,Cleaned_Data!D$2:D$901,A22)</f>
        <v>337819</v>
      </c>
      <c r="C22" s="20" t="n">
        <f aca="false">SUMIFS(Cleaned_Data!G$2:G$901,Cleaned_Data!D$2:D$901,A22)</f>
        <v>50755.32</v>
      </c>
      <c r="D22" s="18" t="n">
        <f aca="false">SUMIFS(Cleaned_Data!H$2:H$901,Cleaned_Data!D$2:D$901,A22)</f>
        <v>167</v>
      </c>
      <c r="E22" s="22" t="n">
        <f aca="false">IFERROR(C22/B22,0)</f>
        <v>0.1502441248124</v>
      </c>
    </row>
    <row r="23" customFormat="false" ht="15" hidden="false" customHeight="true" outlineLevel="0" collapsed="false">
      <c r="A23" s="18" t="s">
        <v>24</v>
      </c>
      <c r="B23" s="20" t="n">
        <f aca="false">SUMIFS(Cleaned_Data!F$2:F$901,Cleaned_Data!D$2:D$901,A23)</f>
        <v>308843</v>
      </c>
      <c r="C23" s="20" t="n">
        <f aca="false">SUMIFS(Cleaned_Data!G$2:G$901,Cleaned_Data!D$2:D$901,A23)</f>
        <v>77150.01</v>
      </c>
      <c r="D23" s="18" t="n">
        <f aca="false">SUMIFS(Cleaned_Data!H$2:H$901,Cleaned_Data!D$2:D$901,A23)</f>
        <v>201</v>
      </c>
      <c r="E23" s="22" t="n">
        <f aca="false">IFERROR(C23/B23,0)</f>
        <v>0.249803330494782</v>
      </c>
    </row>
    <row r="24" customFormat="false" ht="15" hidden="false" customHeight="true" outlineLevel="0" collapsed="false">
      <c r="A24" s="18" t="s">
        <v>34</v>
      </c>
      <c r="B24" s="20" t="n">
        <f aca="false">SUMIFS(Cleaned_Data!F$2:F$901,Cleaned_Data!D$2:D$901,A24)</f>
        <v>138659</v>
      </c>
      <c r="C24" s="20" t="n">
        <f aca="false">SUMIFS(Cleaned_Data!G$2:G$901,Cleaned_Data!D$2:D$901,A24)</f>
        <v>33597.67</v>
      </c>
      <c r="D24" s="18" t="n">
        <f aca="false">SUMIFS(Cleaned_Data!H$2:H$901,Cleaned_Data!D$2:D$901,A24)</f>
        <v>155</v>
      </c>
      <c r="E24" s="22" t="n">
        <f aca="false">IFERROR(C24/B24,0)</f>
        <v>0.242304286054277</v>
      </c>
    </row>
    <row r="25" customFormat="false" ht="15" hidden="false" customHeight="true" outlineLevel="0" collapsed="false">
      <c r="A25" s="18" t="s">
        <v>88</v>
      </c>
      <c r="B25" s="20" t="n">
        <f aca="false">SUMIFS(Cleaned_Data!F$2:F$901,Cleaned_Data!D$2:D$901,A25)</f>
        <v>33174</v>
      </c>
      <c r="C25" s="20" t="n">
        <f aca="false">SUMIFS(Cleaned_Data!G$2:G$901,Cleaned_Data!D$2:D$901,A25)</f>
        <v>10524.72</v>
      </c>
      <c r="D25" s="18" t="n">
        <f aca="false">SUMIFS(Cleaned_Data!H$2:H$901,Cleaned_Data!D$2:D$901,A25)</f>
        <v>138</v>
      </c>
      <c r="E25" s="22" t="n">
        <f aca="false">IFERROR(C25/B25,0)</f>
        <v>0.317258093687828</v>
      </c>
    </row>
    <row r="26" customFormat="false" ht="15" hidden="false" customHeight="true" outlineLevel="0" collapsed="false">
      <c r="A26" s="18" t="s">
        <v>62</v>
      </c>
      <c r="B26" s="20" t="n">
        <f aca="false">SUMIFS(Cleaned_Data!F$2:F$901,Cleaned_Data!D$2:D$901,A26)</f>
        <v>23918</v>
      </c>
      <c r="C26" s="20" t="n">
        <f aca="false">SUMIFS(Cleaned_Data!G$2:G$901,Cleaned_Data!D$2:D$901,A26)</f>
        <v>6966.7</v>
      </c>
      <c r="D26" s="18" t="n">
        <f aca="false">SUMIFS(Cleaned_Data!H$2:H$901,Cleaned_Data!D$2:D$901,A26)</f>
        <v>207</v>
      </c>
      <c r="E26" s="22" t="n">
        <f aca="false">IFERROR(C26/B26,0)</f>
        <v>0.29127435404298</v>
      </c>
    </row>
    <row r="27" customFormat="false" ht="15" hidden="false" customHeight="true" outlineLevel="0" collapsed="false">
      <c r="A27" s="18" t="s">
        <v>58</v>
      </c>
      <c r="B27" s="20" t="n">
        <f aca="false">SUMIFS(Cleaned_Data!F$2:F$901,Cleaned_Data!D$2:D$901,A27)</f>
        <v>15758</v>
      </c>
      <c r="C27" s="20" t="n">
        <f aca="false">SUMIFS(Cleaned_Data!G$2:G$901,Cleaned_Data!D$2:D$901,A27)</f>
        <v>4803.63</v>
      </c>
      <c r="D27" s="18" t="n">
        <f aca="false">SUMIFS(Cleaned_Data!H$2:H$901,Cleaned_Data!D$2:D$901,A27)</f>
        <v>170</v>
      </c>
      <c r="E27" s="22" t="n">
        <f aca="false">IFERROR(C27/B27,0)</f>
        <v>0.304837542835385</v>
      </c>
    </row>
    <row r="28" customFormat="false" ht="15" hidden="false" customHeight="true" outlineLevel="0" collapsed="false">
      <c r="A28" s="18" t="s">
        <v>49</v>
      </c>
      <c r="B28" s="20" t="n">
        <f aca="false">SUMIFS(Cleaned_Data!F$2:F$901,Cleaned_Data!D$2:D$901,A28)</f>
        <v>11312</v>
      </c>
      <c r="C28" s="20" t="n">
        <f aca="false">SUMIFS(Cleaned_Data!G$2:G$901,Cleaned_Data!D$2:D$901,A28)</f>
        <v>3481.24</v>
      </c>
      <c r="D28" s="18" t="n">
        <f aca="false">SUMIFS(Cleaned_Data!H$2:H$901,Cleaned_Data!D$2:D$901,A28)</f>
        <v>183</v>
      </c>
      <c r="E28" s="22" t="n">
        <f aca="false">IFERROR(C28/B28,0)</f>
        <v>0.307747524752475</v>
      </c>
    </row>
    <row r="29" customFormat="false" ht="15" hidden="false" customHeight="true" outlineLevel="0" collapsed="false">
      <c r="A29" s="18" t="s">
        <v>96</v>
      </c>
      <c r="B29" s="20" t="n">
        <f aca="false">SUMIFS(Cleaned_Data!F$2:F$901,Cleaned_Data!D$2:D$901,A29)</f>
        <v>10994</v>
      </c>
      <c r="C29" s="20" t="n">
        <f aca="false">SUMIFS(Cleaned_Data!G$2:G$901,Cleaned_Data!D$2:D$901,A29)</f>
        <v>3306.61</v>
      </c>
      <c r="D29" s="18" t="n">
        <f aca="false">SUMIFS(Cleaned_Data!H$2:H$901,Cleaned_Data!D$2:D$901,A29)</f>
        <v>134</v>
      </c>
      <c r="E29" s="22" t="n">
        <f aca="false">IFERROR(C29/B29,0)</f>
        <v>0.300764962706931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4"/>
  </cols>
  <sheetData>
    <row r="1" customFormat="false" ht="15" hidden="false" customHeight="true" outlineLevel="0" collapsed="false">
      <c r="A1" s="24" t="s">
        <v>968</v>
      </c>
      <c r="B1" s="24"/>
      <c r="C1" s="24"/>
      <c r="D1" s="24"/>
    </row>
    <row r="3" customFormat="false" ht="15" hidden="false" customHeight="true" outlineLevel="0" collapsed="false">
      <c r="A3" s="17" t="s">
        <v>969</v>
      </c>
      <c r="B3" s="17" t="s">
        <v>958</v>
      </c>
      <c r="C3" s="17" t="s">
        <v>963</v>
      </c>
      <c r="D3" s="17" t="s">
        <v>964</v>
      </c>
    </row>
    <row r="4" customFormat="false" ht="15" hidden="false" customHeight="true" outlineLevel="0" collapsed="false">
      <c r="A4" s="18" t="s">
        <v>970</v>
      </c>
      <c r="B4" s="20" t="n">
        <f aca="false">SUMIFS(Cleaned_Data!F$2:F$901,Cleaned_Data!K$2:K$901,1)</f>
        <v>4634266</v>
      </c>
      <c r="C4" s="20" t="n">
        <f aca="false">SUMIFS(Cleaned_Data!G$2:G$901,Cleaned_Data!K$2:K$901,1)</f>
        <v>845813.87</v>
      </c>
      <c r="D4" s="18" t="n">
        <f aca="false">COUNTIFS(Cleaned_Data!K$2:K$901,1)</f>
        <v>61</v>
      </c>
    </row>
    <row r="5" customFormat="false" ht="15" hidden="false" customHeight="true" outlineLevel="0" collapsed="false">
      <c r="A5" s="18" t="s">
        <v>971</v>
      </c>
      <c r="B5" s="20" t="n">
        <f aca="false">SUMIFS(Cleaned_Data!F$2:F$901,Cleaned_Data!K$2:K$901,2)</f>
        <v>5520648</v>
      </c>
      <c r="C5" s="20" t="n">
        <f aca="false">SUMIFS(Cleaned_Data!G$2:G$901,Cleaned_Data!K$2:K$901,2)</f>
        <v>833214.92</v>
      </c>
      <c r="D5" s="18" t="n">
        <f aca="false">COUNTIFS(Cleaned_Data!K$2:K$901,2)</f>
        <v>65</v>
      </c>
    </row>
    <row r="6" customFormat="false" ht="15" hidden="false" customHeight="true" outlineLevel="0" collapsed="false">
      <c r="A6" s="18" t="s">
        <v>972</v>
      </c>
      <c r="B6" s="20" t="n">
        <f aca="false">SUMIFS(Cleaned_Data!F$2:F$901,Cleaned_Data!K$2:K$901,3)</f>
        <v>4789980</v>
      </c>
      <c r="C6" s="20" t="n">
        <f aca="false">SUMIFS(Cleaned_Data!G$2:G$901,Cleaned_Data!K$2:K$901,3)</f>
        <v>781796.41</v>
      </c>
      <c r="D6" s="18" t="n">
        <f aca="false">COUNTIFS(Cleaned_Data!K$2:K$901,3)</f>
        <v>71</v>
      </c>
    </row>
    <row r="7" customFormat="false" ht="15" hidden="false" customHeight="true" outlineLevel="0" collapsed="false">
      <c r="A7" s="18" t="s">
        <v>973</v>
      </c>
      <c r="B7" s="20" t="n">
        <f aca="false">SUMIFS(Cleaned_Data!F$2:F$901,Cleaned_Data!K$2:K$901,4)</f>
        <v>4749898</v>
      </c>
      <c r="C7" s="20" t="n">
        <f aca="false">SUMIFS(Cleaned_Data!G$2:G$901,Cleaned_Data!K$2:K$901,4)</f>
        <v>773505.56</v>
      </c>
      <c r="D7" s="18" t="n">
        <f aca="false">COUNTIFS(Cleaned_Data!K$2:K$901,4)</f>
        <v>66</v>
      </c>
    </row>
    <row r="8" customFormat="false" ht="15" hidden="false" customHeight="true" outlineLevel="0" collapsed="false">
      <c r="A8" s="18" t="s">
        <v>974</v>
      </c>
      <c r="B8" s="20" t="n">
        <f aca="false">SUMIFS(Cleaned_Data!F$2:F$901,Cleaned_Data!K$2:K$901,5)</f>
        <v>3609800</v>
      </c>
      <c r="C8" s="20" t="n">
        <f aca="false">SUMIFS(Cleaned_Data!G$2:G$901,Cleaned_Data!K$2:K$901,5)</f>
        <v>606474.92</v>
      </c>
      <c r="D8" s="18" t="n">
        <f aca="false">COUNTIFS(Cleaned_Data!K$2:K$901,5)</f>
        <v>74</v>
      </c>
    </row>
    <row r="9" customFormat="false" ht="15" hidden="false" customHeight="true" outlineLevel="0" collapsed="false">
      <c r="A9" s="18" t="s">
        <v>975</v>
      </c>
      <c r="B9" s="20" t="n">
        <f aca="false">SUMIFS(Cleaned_Data!F$2:F$901,Cleaned_Data!K$2:K$901,6)</f>
        <v>5070996</v>
      </c>
      <c r="C9" s="20" t="n">
        <f aca="false">SUMIFS(Cleaned_Data!G$2:G$901,Cleaned_Data!K$2:K$901,6)</f>
        <v>763422.33</v>
      </c>
      <c r="D9" s="18" t="n">
        <f aca="false">COUNTIFS(Cleaned_Data!K$2:K$901,6)</f>
        <v>71</v>
      </c>
    </row>
    <row r="10" customFormat="false" ht="15" hidden="false" customHeight="true" outlineLevel="0" collapsed="false">
      <c r="A10" s="18" t="s">
        <v>976</v>
      </c>
      <c r="B10" s="20" t="n">
        <f aca="false">SUMIFS(Cleaned_Data!F$2:F$901,Cleaned_Data!K$2:K$901,7)</f>
        <v>4111057</v>
      </c>
      <c r="C10" s="20" t="n">
        <f aca="false">SUMIFS(Cleaned_Data!G$2:G$901,Cleaned_Data!K$2:K$901,7)</f>
        <v>688504.31</v>
      </c>
      <c r="D10" s="18" t="n">
        <f aca="false">COUNTIFS(Cleaned_Data!K$2:K$901,7)</f>
        <v>82</v>
      </c>
    </row>
    <row r="11" customFormat="false" ht="15" hidden="false" customHeight="true" outlineLevel="0" collapsed="false">
      <c r="A11" s="18" t="s">
        <v>977</v>
      </c>
      <c r="B11" s="20" t="n">
        <f aca="false">SUMIFS(Cleaned_Data!F$2:F$901,Cleaned_Data!K$2:K$901,8)</f>
        <v>5487151</v>
      </c>
      <c r="C11" s="20" t="n">
        <f aca="false">SUMIFS(Cleaned_Data!G$2:G$901,Cleaned_Data!K$2:K$901,8)</f>
        <v>788091.99</v>
      </c>
      <c r="D11" s="18" t="n">
        <f aca="false">COUNTIFS(Cleaned_Data!K$2:K$901,8)</f>
        <v>77</v>
      </c>
    </row>
    <row r="12" customFormat="false" ht="15" hidden="false" customHeight="true" outlineLevel="0" collapsed="false">
      <c r="A12" s="18" t="s">
        <v>978</v>
      </c>
      <c r="B12" s="20" t="n">
        <f aca="false">SUMIFS(Cleaned_Data!F$2:F$901,Cleaned_Data!K$2:K$901,9)</f>
        <v>4669817</v>
      </c>
      <c r="C12" s="20" t="n">
        <f aca="false">SUMIFS(Cleaned_Data!G$2:G$901,Cleaned_Data!K$2:K$901,9)</f>
        <v>651512.66</v>
      </c>
      <c r="D12" s="18" t="n">
        <f aca="false">COUNTIFS(Cleaned_Data!K$2:K$901,9)</f>
        <v>61</v>
      </c>
    </row>
    <row r="13" customFormat="false" ht="15" hidden="false" customHeight="true" outlineLevel="0" collapsed="false">
      <c r="A13" s="18" t="s">
        <v>979</v>
      </c>
      <c r="B13" s="20" t="n">
        <f aca="false">SUMIFS(Cleaned_Data!F$2:F$901,Cleaned_Data!K$2:K$901,10)</f>
        <v>6209709</v>
      </c>
      <c r="C13" s="20" t="n">
        <f aca="false">SUMIFS(Cleaned_Data!G$2:G$901,Cleaned_Data!K$2:K$901,10)</f>
        <v>961829.9</v>
      </c>
      <c r="D13" s="18" t="n">
        <f aca="false">COUNTIFS(Cleaned_Data!K$2:K$901,10)</f>
        <v>101</v>
      </c>
    </row>
    <row r="14" customFormat="false" ht="15" hidden="false" customHeight="true" outlineLevel="0" collapsed="false">
      <c r="A14" s="18" t="s">
        <v>980</v>
      </c>
      <c r="B14" s="20" t="n">
        <f aca="false">SUMIFS(Cleaned_Data!F$2:F$901,Cleaned_Data!K$2:K$901,11)</f>
        <v>4734019</v>
      </c>
      <c r="C14" s="20" t="n">
        <f aca="false">SUMIFS(Cleaned_Data!G$2:G$901,Cleaned_Data!K$2:K$901,11)</f>
        <v>714144.63</v>
      </c>
      <c r="D14" s="18" t="n">
        <f aca="false">COUNTIFS(Cleaned_Data!K$2:K$901,11)</f>
        <v>85</v>
      </c>
    </row>
    <row r="15" customFormat="false" ht="15" hidden="false" customHeight="true" outlineLevel="0" collapsed="false">
      <c r="A15" s="18" t="s">
        <v>981</v>
      </c>
      <c r="B15" s="20" t="n">
        <f aca="false">SUMIFS(Cleaned_Data!F$2:F$901,Cleaned_Data!K$2:K$901,12)</f>
        <v>4425986</v>
      </c>
      <c r="C15" s="20" t="n">
        <f aca="false">SUMIFS(Cleaned_Data!G$2:G$901,Cleaned_Data!K$2:K$901,12)</f>
        <v>659715.46</v>
      </c>
      <c r="D15" s="18" t="n">
        <f aca="false">COUNTIFS(Cleaned_Data!K$2:K$901,12)</f>
        <v>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2026-09-17T06:47:00Z</dcterms:created>
  <dc:creator>openpyxl</dc:creator>
  <dc:description/>
  <dc:language>en-US</dc:language>
  <cp:lastModifiedBy/>
  <dcterms:modified xsi:type="dcterms:W3CDTF">2026-09-17T06:48:28Z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